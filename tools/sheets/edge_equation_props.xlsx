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aw" sheetId="1" state="visible" r:id="rId1"/>
    <sheet name="picks" sheetId="2" state="visible" r:id="rId2"/>
    <sheet name="tracking" sheetId="3" state="visible" r:id="rId3"/>
  </sheets>
  <definedNames>
    <definedName name="payout_mult">picks!$Q$1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Helvetica Neue"/>
      <b val="1"/>
      <color rgb="005BC0E8"/>
      <sz val="12"/>
    </font>
    <font>
      <i val="1"/>
      <color rgb="008A8A7A"/>
    </font>
    <font>
      <b val="1"/>
      <color rgb="005BC0E8"/>
      <sz val="14"/>
    </font>
    <font>
      <i val="1"/>
      <color rgb="008A8A7A"/>
      <sz val="9"/>
    </font>
    <font>
      <name val="Helvetica Neue"/>
      <sz val="11"/>
    </font>
  </fonts>
  <fills count="3">
    <fill>
      <patternFill/>
    </fill>
    <fill>
      <patternFill patternType="gray125"/>
    </fill>
    <fill>
      <patternFill patternType="solid">
        <fgColor rgb="001E22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10" fontId="0" fillId="0" borderId="0" pivotButton="0" quotePrefix="0" xfId="0"/>
    <xf numFmtId="1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10" customWidth="1" min="4" max="4"/>
    <col width="22" customWidth="1" min="5" max="5"/>
    <col width="8" customWidth="1" min="6" max="6"/>
    <col width="6" customWidth="1" min="7" max="7"/>
    <col width="32" customWidth="1" min="8" max="8"/>
    <col width="14" customWidth="1" min="9" max="9"/>
    <col width="8" customWidth="1" min="10" max="10"/>
    <col width="22" customWidth="1" min="11" max="11"/>
    <col width="12" customWidth="1" min="12" max="12"/>
  </cols>
  <sheetData>
    <row r="1">
      <c r="A1" s="1" t="inlineStr">
        <is>
          <t>scraped_at</t>
        </is>
      </c>
      <c r="B1" s="1" t="inlineStr">
        <is>
          <t>projection_id</t>
        </is>
      </c>
      <c r="C1" s="1" t="inlineStr">
        <is>
          <t>league</t>
        </is>
      </c>
      <c r="D1" s="1" t="inlineStr">
        <is>
          <t>sport</t>
        </is>
      </c>
      <c r="E1" s="1" t="inlineStr">
        <is>
          <t>player</t>
        </is>
      </c>
      <c r="F1" s="1" t="inlineStr">
        <is>
          <t>team</t>
        </is>
      </c>
      <c r="G1" s="1" t="inlineStr">
        <is>
          <t>position</t>
        </is>
      </c>
      <c r="H1" s="1" t="inlineStr">
        <is>
          <t>description</t>
        </is>
      </c>
      <c r="I1" s="1" t="inlineStr">
        <is>
          <t>stat_type</t>
        </is>
      </c>
      <c r="J1" s="1" t="inlineStr">
        <is>
          <t>line</t>
        </is>
      </c>
      <c r="K1" s="1" t="inlineStr">
        <is>
          <t>start_time</t>
        </is>
      </c>
      <c r="L1" s="1" t="inlineStr">
        <is>
          <t>odds_type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14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30" customWidth="1" min="13" max="13"/>
  </cols>
  <sheetData>
    <row r="1">
      <c r="A1" s="1" t="inlineStr">
        <is>
          <t>projection_id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league</t>
        </is>
      </c>
      <c r="E1" s="1" t="inlineStr">
        <is>
          <t>stat_type</t>
        </is>
      </c>
      <c r="F1" s="1" t="inlineStr">
        <is>
          <t>line</t>
        </is>
      </c>
      <c r="G1" s="1" t="inlineStr">
        <is>
          <t>pick (over/under)</t>
        </is>
      </c>
      <c r="H1" s="1" t="inlineStr">
        <is>
          <t>your_prob</t>
        </is>
      </c>
      <c r="I1" s="1" t="inlineStr">
        <is>
          <t>break_even</t>
        </is>
      </c>
      <c r="J1" s="1" t="inlineStr">
        <is>
          <t>edge</t>
        </is>
      </c>
      <c r="K1" s="1" t="inlineStr">
        <is>
          <t>half_kelly</t>
        </is>
      </c>
      <c r="L1" s="1" t="inlineStr">
        <is>
          <t>grade</t>
        </is>
      </c>
      <c r="M1" s="1" t="inlineStr">
        <is>
          <t>notes</t>
        </is>
      </c>
      <c r="P1" s="2" t="inlineStr">
        <is>
          <t>payout_mult ↓</t>
        </is>
      </c>
      <c r="Q1" s="3" t="n">
        <v>3</v>
      </c>
    </row>
    <row r="2">
      <c r="B2" s="4">
        <f>IFERROR(VLOOKUP(A2,_raw!B:L,4,FALSE),"")</f>
        <v/>
      </c>
      <c r="C2" s="4">
        <f>IFERROR(VLOOKUP(A2,_raw!B:L,5,FALSE),"")</f>
        <v/>
      </c>
      <c r="D2" s="4">
        <f>IFERROR(VLOOKUP(A2,_raw!B:L,2,FALSE),"")</f>
        <v/>
      </c>
      <c r="E2" s="4">
        <f>IFERROR(VLOOKUP(A2,_raw!B:L,8,FALSE),"")</f>
        <v/>
      </c>
      <c r="F2" s="5">
        <f>IFERROR(VLOOKUP(A2,_raw!B:L,9,FALSE),"")</f>
        <v/>
      </c>
      <c r="H2" s="6" t="n"/>
      <c r="I2" s="7">
        <f>IF(payout_mult="","",SQRT(1/payout_mult))</f>
        <v/>
      </c>
      <c r="J2" s="7">
        <f>IF(OR(H2="",I2=""),"",H2-I2)</f>
        <v/>
      </c>
      <c r="K2" s="7">
        <f>IFERROR(IF(OR(H2="",J2&lt;=0),0,MIN(0.25,MAX(0,(H2*(payout_mult^(1/2)-1)-(1-H2))/(payout_mult^(1/2)-1)/2))),0)</f>
        <v/>
      </c>
      <c r="L2" s="8">
        <f>IF(J2="","",IF(J2&gt;=0.10,"A+",IF(J2&gt;=0.07,"A",IF(J2&gt;=0.04,"B",IF(J2&gt;=0.02,"C",IF(J2&gt;0,"D","F"))))))</f>
        <v/>
      </c>
      <c r="P2" s="9" t="inlineStr">
        <is>
          <t>2-pick=3 · 3-pick=5 · 4-pick=10 · 5-pick=20 · 6-pick=25</t>
        </is>
      </c>
    </row>
    <row r="3">
      <c r="B3" s="4">
        <f>IFERROR(VLOOKUP(A3,_raw!B:L,4,FALSE),"")</f>
        <v/>
      </c>
      <c r="C3" s="4">
        <f>IFERROR(VLOOKUP(A3,_raw!B:L,5,FALSE),"")</f>
        <v/>
      </c>
      <c r="D3" s="4">
        <f>IFERROR(VLOOKUP(A3,_raw!B:L,2,FALSE),"")</f>
        <v/>
      </c>
      <c r="E3" s="4">
        <f>IFERROR(VLOOKUP(A3,_raw!B:L,8,FALSE),"")</f>
        <v/>
      </c>
      <c r="F3" s="5">
        <f>IFERROR(VLOOKUP(A3,_raw!B:L,9,FALSE),"")</f>
        <v/>
      </c>
      <c r="H3" s="6" t="n"/>
      <c r="I3" s="7">
        <f>IF(payout_mult="","",SQRT(1/payout_mult))</f>
        <v/>
      </c>
      <c r="J3" s="7">
        <f>IF(OR(H3="",I3=""),"",H3-I3)</f>
        <v/>
      </c>
      <c r="K3" s="7">
        <f>IFERROR(IF(OR(H3="",J3&lt;=0),0,MIN(0.25,MAX(0,(H3*(payout_mult^(1/2)-1)-(1-H3))/(payout_mult^(1/2)-1)/2))),0)</f>
        <v/>
      </c>
      <c r="L3" s="8">
        <f>IF(J3="","",IF(J3&gt;=0.10,"A+",IF(J3&gt;=0.07,"A",IF(J3&gt;=0.04,"B",IF(J3&gt;=0.02,"C",IF(J3&gt;0,"D","F"))))))</f>
        <v/>
      </c>
    </row>
    <row r="4">
      <c r="B4" s="4">
        <f>IFERROR(VLOOKUP(A4,_raw!B:L,4,FALSE),"")</f>
        <v/>
      </c>
      <c r="C4" s="4">
        <f>IFERROR(VLOOKUP(A4,_raw!B:L,5,FALSE),"")</f>
        <v/>
      </c>
      <c r="D4" s="4">
        <f>IFERROR(VLOOKUP(A4,_raw!B:L,2,FALSE),"")</f>
        <v/>
      </c>
      <c r="E4" s="4">
        <f>IFERROR(VLOOKUP(A4,_raw!B:L,8,FALSE),"")</f>
        <v/>
      </c>
      <c r="F4" s="5">
        <f>IFERROR(VLOOKUP(A4,_raw!B:L,9,FALSE),"")</f>
        <v/>
      </c>
      <c r="H4" s="6" t="n"/>
      <c r="I4" s="7">
        <f>IF(payout_mult="","",SQRT(1/payout_mult))</f>
        <v/>
      </c>
      <c r="J4" s="7">
        <f>IF(OR(H4="",I4=""),"",H4-I4)</f>
        <v/>
      </c>
      <c r="K4" s="7">
        <f>IFERROR(IF(OR(H4="",J4&lt;=0),0,MIN(0.25,MAX(0,(H4*(payout_mult^(1/2)-1)-(1-H4))/(payout_mult^(1/2)-1)/2))),0)</f>
        <v/>
      </c>
      <c r="L4" s="8">
        <f>IF(J4="","",IF(J4&gt;=0.10,"A+",IF(J4&gt;=0.07,"A",IF(J4&gt;=0.04,"B",IF(J4&gt;=0.02,"C",IF(J4&gt;0,"D","F"))))))</f>
        <v/>
      </c>
    </row>
    <row r="5">
      <c r="B5" s="4">
        <f>IFERROR(VLOOKUP(A5,_raw!B:L,4,FALSE),"")</f>
        <v/>
      </c>
      <c r="C5" s="4">
        <f>IFERROR(VLOOKUP(A5,_raw!B:L,5,FALSE),"")</f>
        <v/>
      </c>
      <c r="D5" s="4">
        <f>IFERROR(VLOOKUP(A5,_raw!B:L,2,FALSE),"")</f>
        <v/>
      </c>
      <c r="E5" s="4">
        <f>IFERROR(VLOOKUP(A5,_raw!B:L,8,FALSE),"")</f>
        <v/>
      </c>
      <c r="F5" s="5">
        <f>IFERROR(VLOOKUP(A5,_raw!B:L,9,FALSE),"")</f>
        <v/>
      </c>
      <c r="H5" s="6" t="n"/>
      <c r="I5" s="7">
        <f>IF(payout_mult="","",SQRT(1/payout_mult))</f>
        <v/>
      </c>
      <c r="J5" s="7">
        <f>IF(OR(H5="",I5=""),"",H5-I5)</f>
        <v/>
      </c>
      <c r="K5" s="7">
        <f>IFERROR(IF(OR(H5="",J5&lt;=0),0,MIN(0.25,MAX(0,(H5*(payout_mult^(1/2)-1)-(1-H5))/(payout_mult^(1/2)-1)/2))),0)</f>
        <v/>
      </c>
      <c r="L5" s="8">
        <f>IF(J5="","",IF(J5&gt;=0.10,"A+",IF(J5&gt;=0.07,"A",IF(J5&gt;=0.04,"B",IF(J5&gt;=0.02,"C",IF(J5&gt;0,"D","F"))))))</f>
        <v/>
      </c>
    </row>
    <row r="6">
      <c r="B6" s="4">
        <f>IFERROR(VLOOKUP(A6,_raw!B:L,4,FALSE),"")</f>
        <v/>
      </c>
      <c r="C6" s="4">
        <f>IFERROR(VLOOKUP(A6,_raw!B:L,5,FALSE),"")</f>
        <v/>
      </c>
      <c r="D6" s="4">
        <f>IFERROR(VLOOKUP(A6,_raw!B:L,2,FALSE),"")</f>
        <v/>
      </c>
      <c r="E6" s="4">
        <f>IFERROR(VLOOKUP(A6,_raw!B:L,8,FALSE),"")</f>
        <v/>
      </c>
      <c r="F6" s="5">
        <f>IFERROR(VLOOKUP(A6,_raw!B:L,9,FALSE),"")</f>
        <v/>
      </c>
      <c r="H6" s="6" t="n"/>
      <c r="I6" s="7">
        <f>IF(payout_mult="","",SQRT(1/payout_mult))</f>
        <v/>
      </c>
      <c r="J6" s="7">
        <f>IF(OR(H6="",I6=""),"",H6-I6)</f>
        <v/>
      </c>
      <c r="K6" s="7">
        <f>IFERROR(IF(OR(H6="",J6&lt;=0),0,MIN(0.25,MAX(0,(H6*(payout_mult^(1/2)-1)-(1-H6))/(payout_mult^(1/2)-1)/2))),0)</f>
        <v/>
      </c>
      <c r="L6" s="8">
        <f>IF(J6="","",IF(J6&gt;=0.10,"A+",IF(J6&gt;=0.07,"A",IF(J6&gt;=0.04,"B",IF(J6&gt;=0.02,"C",IF(J6&gt;0,"D","F"))))))</f>
        <v/>
      </c>
    </row>
    <row r="7">
      <c r="B7" s="4">
        <f>IFERROR(VLOOKUP(A7,_raw!B:L,4,FALSE),"")</f>
        <v/>
      </c>
      <c r="C7" s="4">
        <f>IFERROR(VLOOKUP(A7,_raw!B:L,5,FALSE),"")</f>
        <v/>
      </c>
      <c r="D7" s="4">
        <f>IFERROR(VLOOKUP(A7,_raw!B:L,2,FALSE),"")</f>
        <v/>
      </c>
      <c r="E7" s="4">
        <f>IFERROR(VLOOKUP(A7,_raw!B:L,8,FALSE),"")</f>
        <v/>
      </c>
      <c r="F7" s="5">
        <f>IFERROR(VLOOKUP(A7,_raw!B:L,9,FALSE),"")</f>
        <v/>
      </c>
      <c r="H7" s="6" t="n"/>
      <c r="I7" s="7">
        <f>IF(payout_mult="","",SQRT(1/payout_mult))</f>
        <v/>
      </c>
      <c r="J7" s="7">
        <f>IF(OR(H7="",I7=""),"",H7-I7)</f>
        <v/>
      </c>
      <c r="K7" s="7">
        <f>IFERROR(IF(OR(H7="",J7&lt;=0),0,MIN(0.25,MAX(0,(H7*(payout_mult^(1/2)-1)-(1-H7))/(payout_mult^(1/2)-1)/2))),0)</f>
        <v/>
      </c>
      <c r="L7" s="8">
        <f>IF(J7="","",IF(J7&gt;=0.10,"A+",IF(J7&gt;=0.07,"A",IF(J7&gt;=0.04,"B",IF(J7&gt;=0.02,"C",IF(J7&gt;0,"D","F"))))))</f>
        <v/>
      </c>
    </row>
    <row r="8">
      <c r="B8" s="4">
        <f>IFERROR(VLOOKUP(A8,_raw!B:L,4,FALSE),"")</f>
        <v/>
      </c>
      <c r="C8" s="4">
        <f>IFERROR(VLOOKUP(A8,_raw!B:L,5,FALSE),"")</f>
        <v/>
      </c>
      <c r="D8" s="4">
        <f>IFERROR(VLOOKUP(A8,_raw!B:L,2,FALSE),"")</f>
        <v/>
      </c>
      <c r="E8" s="4">
        <f>IFERROR(VLOOKUP(A8,_raw!B:L,8,FALSE),"")</f>
        <v/>
      </c>
      <c r="F8" s="5">
        <f>IFERROR(VLOOKUP(A8,_raw!B:L,9,FALSE),"")</f>
        <v/>
      </c>
      <c r="H8" s="6" t="n"/>
      <c r="I8" s="7">
        <f>IF(payout_mult="","",SQRT(1/payout_mult))</f>
        <v/>
      </c>
      <c r="J8" s="7">
        <f>IF(OR(H8="",I8=""),"",H8-I8)</f>
        <v/>
      </c>
      <c r="K8" s="7">
        <f>IFERROR(IF(OR(H8="",J8&lt;=0),0,MIN(0.25,MAX(0,(H8*(payout_mult^(1/2)-1)-(1-H8))/(payout_mult^(1/2)-1)/2))),0)</f>
        <v/>
      </c>
      <c r="L8" s="8">
        <f>IF(J8="","",IF(J8&gt;=0.10,"A+",IF(J8&gt;=0.07,"A",IF(J8&gt;=0.04,"B",IF(J8&gt;=0.02,"C",IF(J8&gt;0,"D","F"))))))</f>
        <v/>
      </c>
    </row>
    <row r="9">
      <c r="B9" s="4">
        <f>IFERROR(VLOOKUP(A9,_raw!B:L,4,FALSE),"")</f>
        <v/>
      </c>
      <c r="C9" s="4">
        <f>IFERROR(VLOOKUP(A9,_raw!B:L,5,FALSE),"")</f>
        <v/>
      </c>
      <c r="D9" s="4">
        <f>IFERROR(VLOOKUP(A9,_raw!B:L,2,FALSE),"")</f>
        <v/>
      </c>
      <c r="E9" s="4">
        <f>IFERROR(VLOOKUP(A9,_raw!B:L,8,FALSE),"")</f>
        <v/>
      </c>
      <c r="F9" s="5">
        <f>IFERROR(VLOOKUP(A9,_raw!B:L,9,FALSE),"")</f>
        <v/>
      </c>
      <c r="H9" s="6" t="n"/>
      <c r="I9" s="7">
        <f>IF(payout_mult="","",SQRT(1/payout_mult))</f>
        <v/>
      </c>
      <c r="J9" s="7">
        <f>IF(OR(H9="",I9=""),"",H9-I9)</f>
        <v/>
      </c>
      <c r="K9" s="7">
        <f>IFERROR(IF(OR(H9="",J9&lt;=0),0,MIN(0.25,MAX(0,(H9*(payout_mult^(1/2)-1)-(1-H9))/(payout_mult^(1/2)-1)/2))),0)</f>
        <v/>
      </c>
      <c r="L9" s="8">
        <f>IF(J9="","",IF(J9&gt;=0.10,"A+",IF(J9&gt;=0.07,"A",IF(J9&gt;=0.04,"B",IF(J9&gt;=0.02,"C",IF(J9&gt;0,"D","F"))))))</f>
        <v/>
      </c>
    </row>
    <row r="10">
      <c r="B10" s="4">
        <f>IFERROR(VLOOKUP(A10,_raw!B:L,4,FALSE),"")</f>
        <v/>
      </c>
      <c r="C10" s="4">
        <f>IFERROR(VLOOKUP(A10,_raw!B:L,5,FALSE),"")</f>
        <v/>
      </c>
      <c r="D10" s="4">
        <f>IFERROR(VLOOKUP(A10,_raw!B:L,2,FALSE),"")</f>
        <v/>
      </c>
      <c r="E10" s="4">
        <f>IFERROR(VLOOKUP(A10,_raw!B:L,8,FALSE),"")</f>
        <v/>
      </c>
      <c r="F10" s="5">
        <f>IFERROR(VLOOKUP(A10,_raw!B:L,9,FALSE),"")</f>
        <v/>
      </c>
      <c r="H10" s="6" t="n"/>
      <c r="I10" s="7">
        <f>IF(payout_mult="","",SQRT(1/payout_mult))</f>
        <v/>
      </c>
      <c r="J10" s="7">
        <f>IF(OR(H10="",I10=""),"",H10-I10)</f>
        <v/>
      </c>
      <c r="K10" s="7">
        <f>IFERROR(IF(OR(H10="",J10&lt;=0),0,MIN(0.25,MAX(0,(H10*(payout_mult^(1/2)-1)-(1-H10))/(payout_mult^(1/2)-1)/2))),0)</f>
        <v/>
      </c>
      <c r="L10" s="8">
        <f>IF(J10="","",IF(J10&gt;=0.10,"A+",IF(J10&gt;=0.07,"A",IF(J10&gt;=0.04,"B",IF(J10&gt;=0.02,"C",IF(J10&gt;0,"D","F"))))))</f>
        <v/>
      </c>
    </row>
    <row r="11">
      <c r="B11" s="4">
        <f>IFERROR(VLOOKUP(A11,_raw!B:L,4,FALSE),"")</f>
        <v/>
      </c>
      <c r="C11" s="4">
        <f>IFERROR(VLOOKUP(A11,_raw!B:L,5,FALSE),"")</f>
        <v/>
      </c>
      <c r="D11" s="4">
        <f>IFERROR(VLOOKUP(A11,_raw!B:L,2,FALSE),"")</f>
        <v/>
      </c>
      <c r="E11" s="4">
        <f>IFERROR(VLOOKUP(A11,_raw!B:L,8,FALSE),"")</f>
        <v/>
      </c>
      <c r="F11" s="5">
        <f>IFERROR(VLOOKUP(A11,_raw!B:L,9,FALSE),"")</f>
        <v/>
      </c>
      <c r="H11" s="6" t="n"/>
      <c r="I11" s="7">
        <f>IF(payout_mult="","",SQRT(1/payout_mult))</f>
        <v/>
      </c>
      <c r="J11" s="7">
        <f>IF(OR(H11="",I11=""),"",H11-I11)</f>
        <v/>
      </c>
      <c r="K11" s="7">
        <f>IFERROR(IF(OR(H11="",J11&lt;=0),0,MIN(0.25,MAX(0,(H11*(payout_mult^(1/2)-1)-(1-H11))/(payout_mult^(1/2)-1)/2))),0)</f>
        <v/>
      </c>
      <c r="L11" s="8">
        <f>IF(J11="","",IF(J11&gt;=0.10,"A+",IF(J11&gt;=0.07,"A",IF(J11&gt;=0.04,"B",IF(J11&gt;=0.02,"C",IF(J11&gt;0,"D","F"))))))</f>
        <v/>
      </c>
    </row>
    <row r="12">
      <c r="B12" s="4">
        <f>IFERROR(VLOOKUP(A12,_raw!B:L,4,FALSE),"")</f>
        <v/>
      </c>
      <c r="C12" s="4">
        <f>IFERROR(VLOOKUP(A12,_raw!B:L,5,FALSE),"")</f>
        <v/>
      </c>
      <c r="D12" s="4">
        <f>IFERROR(VLOOKUP(A12,_raw!B:L,2,FALSE),"")</f>
        <v/>
      </c>
      <c r="E12" s="4">
        <f>IFERROR(VLOOKUP(A12,_raw!B:L,8,FALSE),"")</f>
        <v/>
      </c>
      <c r="F12" s="5">
        <f>IFERROR(VLOOKUP(A12,_raw!B:L,9,FALSE),"")</f>
        <v/>
      </c>
      <c r="H12" s="6" t="n"/>
      <c r="I12" s="7">
        <f>IF(payout_mult="","",SQRT(1/payout_mult))</f>
        <v/>
      </c>
      <c r="J12" s="7">
        <f>IF(OR(H12="",I12=""),"",H12-I12)</f>
        <v/>
      </c>
      <c r="K12" s="7">
        <f>IFERROR(IF(OR(H12="",J12&lt;=0),0,MIN(0.25,MAX(0,(H12*(payout_mult^(1/2)-1)-(1-H12))/(payout_mult^(1/2)-1)/2))),0)</f>
        <v/>
      </c>
      <c r="L12" s="8">
        <f>IF(J12="","",IF(J12&gt;=0.10,"A+",IF(J12&gt;=0.07,"A",IF(J12&gt;=0.04,"B",IF(J12&gt;=0.02,"C",IF(J12&gt;0,"D","F"))))))</f>
        <v/>
      </c>
    </row>
    <row r="13">
      <c r="B13" s="4">
        <f>IFERROR(VLOOKUP(A13,_raw!B:L,4,FALSE),"")</f>
        <v/>
      </c>
      <c r="C13" s="4">
        <f>IFERROR(VLOOKUP(A13,_raw!B:L,5,FALSE),"")</f>
        <v/>
      </c>
      <c r="D13" s="4">
        <f>IFERROR(VLOOKUP(A13,_raw!B:L,2,FALSE),"")</f>
        <v/>
      </c>
      <c r="E13" s="4">
        <f>IFERROR(VLOOKUP(A13,_raw!B:L,8,FALSE),"")</f>
        <v/>
      </c>
      <c r="F13" s="5">
        <f>IFERROR(VLOOKUP(A13,_raw!B:L,9,FALSE),"")</f>
        <v/>
      </c>
      <c r="H13" s="6" t="n"/>
      <c r="I13" s="7">
        <f>IF(payout_mult="","",SQRT(1/payout_mult))</f>
        <v/>
      </c>
      <c r="J13" s="7">
        <f>IF(OR(H13="",I13=""),"",H13-I13)</f>
        <v/>
      </c>
      <c r="K13" s="7">
        <f>IFERROR(IF(OR(H13="",J13&lt;=0),0,MIN(0.25,MAX(0,(H13*(payout_mult^(1/2)-1)-(1-H13))/(payout_mult^(1/2)-1)/2))),0)</f>
        <v/>
      </c>
      <c r="L13" s="8">
        <f>IF(J13="","",IF(J13&gt;=0.10,"A+",IF(J13&gt;=0.07,"A",IF(J13&gt;=0.04,"B",IF(J13&gt;=0.02,"C",IF(J13&gt;0,"D","F"))))))</f>
        <v/>
      </c>
    </row>
    <row r="14">
      <c r="B14" s="4">
        <f>IFERROR(VLOOKUP(A14,_raw!B:L,4,FALSE),"")</f>
        <v/>
      </c>
      <c r="C14" s="4">
        <f>IFERROR(VLOOKUP(A14,_raw!B:L,5,FALSE),"")</f>
        <v/>
      </c>
      <c r="D14" s="4">
        <f>IFERROR(VLOOKUP(A14,_raw!B:L,2,FALSE),"")</f>
        <v/>
      </c>
      <c r="E14" s="4">
        <f>IFERROR(VLOOKUP(A14,_raw!B:L,8,FALSE),"")</f>
        <v/>
      </c>
      <c r="F14" s="5">
        <f>IFERROR(VLOOKUP(A14,_raw!B:L,9,FALSE),"")</f>
        <v/>
      </c>
      <c r="H14" s="6" t="n"/>
      <c r="I14" s="7">
        <f>IF(payout_mult="","",SQRT(1/payout_mult))</f>
        <v/>
      </c>
      <c r="J14" s="7">
        <f>IF(OR(H14="",I14=""),"",H14-I14)</f>
        <v/>
      </c>
      <c r="K14" s="7">
        <f>IFERROR(IF(OR(H14="",J14&lt;=0),0,MIN(0.25,MAX(0,(H14*(payout_mult^(1/2)-1)-(1-H14))/(payout_mult^(1/2)-1)/2))),0)</f>
        <v/>
      </c>
      <c r="L14" s="8">
        <f>IF(J14="","",IF(J14&gt;=0.10,"A+",IF(J14&gt;=0.07,"A",IF(J14&gt;=0.04,"B",IF(J14&gt;=0.02,"C",IF(J14&gt;0,"D","F"))))))</f>
        <v/>
      </c>
    </row>
    <row r="15">
      <c r="B15" s="4">
        <f>IFERROR(VLOOKUP(A15,_raw!B:L,4,FALSE),"")</f>
        <v/>
      </c>
      <c r="C15" s="4">
        <f>IFERROR(VLOOKUP(A15,_raw!B:L,5,FALSE),"")</f>
        <v/>
      </c>
      <c r="D15" s="4">
        <f>IFERROR(VLOOKUP(A15,_raw!B:L,2,FALSE),"")</f>
        <v/>
      </c>
      <c r="E15" s="4">
        <f>IFERROR(VLOOKUP(A15,_raw!B:L,8,FALSE),"")</f>
        <v/>
      </c>
      <c r="F15" s="5">
        <f>IFERROR(VLOOKUP(A15,_raw!B:L,9,FALSE),"")</f>
        <v/>
      </c>
      <c r="H15" s="6" t="n"/>
      <c r="I15" s="7">
        <f>IF(payout_mult="","",SQRT(1/payout_mult))</f>
        <v/>
      </c>
      <c r="J15" s="7">
        <f>IF(OR(H15="",I15=""),"",H15-I15)</f>
        <v/>
      </c>
      <c r="K15" s="7">
        <f>IFERROR(IF(OR(H15="",J15&lt;=0),0,MIN(0.25,MAX(0,(H15*(payout_mult^(1/2)-1)-(1-H15))/(payout_mult^(1/2)-1)/2))),0)</f>
        <v/>
      </c>
      <c r="L15" s="8">
        <f>IF(J15="","",IF(J15&gt;=0.10,"A+",IF(J15&gt;=0.07,"A",IF(J15&gt;=0.04,"B",IF(J15&gt;=0.02,"C",IF(J15&gt;0,"D","F"))))))</f>
        <v/>
      </c>
    </row>
    <row r="16">
      <c r="B16" s="4">
        <f>IFERROR(VLOOKUP(A16,_raw!B:L,4,FALSE),"")</f>
        <v/>
      </c>
      <c r="C16" s="4">
        <f>IFERROR(VLOOKUP(A16,_raw!B:L,5,FALSE),"")</f>
        <v/>
      </c>
      <c r="D16" s="4">
        <f>IFERROR(VLOOKUP(A16,_raw!B:L,2,FALSE),"")</f>
        <v/>
      </c>
      <c r="E16" s="4">
        <f>IFERROR(VLOOKUP(A16,_raw!B:L,8,FALSE),"")</f>
        <v/>
      </c>
      <c r="F16" s="5">
        <f>IFERROR(VLOOKUP(A16,_raw!B:L,9,FALSE),"")</f>
        <v/>
      </c>
      <c r="H16" s="6" t="n"/>
      <c r="I16" s="7">
        <f>IF(payout_mult="","",SQRT(1/payout_mult))</f>
        <v/>
      </c>
      <c r="J16" s="7">
        <f>IF(OR(H16="",I16=""),"",H16-I16)</f>
        <v/>
      </c>
      <c r="K16" s="7">
        <f>IFERROR(IF(OR(H16="",J16&lt;=0),0,MIN(0.25,MAX(0,(H16*(payout_mult^(1/2)-1)-(1-H16))/(payout_mult^(1/2)-1)/2))),0)</f>
        <v/>
      </c>
      <c r="L16" s="8">
        <f>IF(J16="","",IF(J16&gt;=0.10,"A+",IF(J16&gt;=0.07,"A",IF(J16&gt;=0.04,"B",IF(J16&gt;=0.02,"C",IF(J16&gt;0,"D","F"))))))</f>
        <v/>
      </c>
    </row>
    <row r="17">
      <c r="B17" s="4">
        <f>IFERROR(VLOOKUP(A17,_raw!B:L,4,FALSE),"")</f>
        <v/>
      </c>
      <c r="C17" s="4">
        <f>IFERROR(VLOOKUP(A17,_raw!B:L,5,FALSE),"")</f>
        <v/>
      </c>
      <c r="D17" s="4">
        <f>IFERROR(VLOOKUP(A17,_raw!B:L,2,FALSE),"")</f>
        <v/>
      </c>
      <c r="E17" s="4">
        <f>IFERROR(VLOOKUP(A17,_raw!B:L,8,FALSE),"")</f>
        <v/>
      </c>
      <c r="F17" s="5">
        <f>IFERROR(VLOOKUP(A17,_raw!B:L,9,FALSE),"")</f>
        <v/>
      </c>
      <c r="H17" s="6" t="n"/>
      <c r="I17" s="7">
        <f>IF(payout_mult="","",SQRT(1/payout_mult))</f>
        <v/>
      </c>
      <c r="J17" s="7">
        <f>IF(OR(H17="",I17=""),"",H17-I17)</f>
        <v/>
      </c>
      <c r="K17" s="7">
        <f>IFERROR(IF(OR(H17="",J17&lt;=0),0,MIN(0.25,MAX(0,(H17*(payout_mult^(1/2)-1)-(1-H17))/(payout_mult^(1/2)-1)/2))),0)</f>
        <v/>
      </c>
      <c r="L17" s="8">
        <f>IF(J17="","",IF(J17&gt;=0.10,"A+",IF(J17&gt;=0.07,"A",IF(J17&gt;=0.04,"B",IF(J17&gt;=0.02,"C",IF(J17&gt;0,"D","F"))))))</f>
        <v/>
      </c>
    </row>
    <row r="18">
      <c r="B18" s="4">
        <f>IFERROR(VLOOKUP(A18,_raw!B:L,4,FALSE),"")</f>
        <v/>
      </c>
      <c r="C18" s="4">
        <f>IFERROR(VLOOKUP(A18,_raw!B:L,5,FALSE),"")</f>
        <v/>
      </c>
      <c r="D18" s="4">
        <f>IFERROR(VLOOKUP(A18,_raw!B:L,2,FALSE),"")</f>
        <v/>
      </c>
      <c r="E18" s="4">
        <f>IFERROR(VLOOKUP(A18,_raw!B:L,8,FALSE),"")</f>
        <v/>
      </c>
      <c r="F18" s="5">
        <f>IFERROR(VLOOKUP(A18,_raw!B:L,9,FALSE),"")</f>
        <v/>
      </c>
      <c r="H18" s="6" t="n"/>
      <c r="I18" s="7">
        <f>IF(payout_mult="","",SQRT(1/payout_mult))</f>
        <v/>
      </c>
      <c r="J18" s="7">
        <f>IF(OR(H18="",I18=""),"",H18-I18)</f>
        <v/>
      </c>
      <c r="K18" s="7">
        <f>IFERROR(IF(OR(H18="",J18&lt;=0),0,MIN(0.25,MAX(0,(H18*(payout_mult^(1/2)-1)-(1-H18))/(payout_mult^(1/2)-1)/2))),0)</f>
        <v/>
      </c>
      <c r="L18" s="8">
        <f>IF(J18="","",IF(J18&gt;=0.10,"A+",IF(J18&gt;=0.07,"A",IF(J18&gt;=0.04,"B",IF(J18&gt;=0.02,"C",IF(J18&gt;0,"D","F"))))))</f>
        <v/>
      </c>
    </row>
    <row r="19">
      <c r="B19" s="4">
        <f>IFERROR(VLOOKUP(A19,_raw!B:L,4,FALSE),"")</f>
        <v/>
      </c>
      <c r="C19" s="4">
        <f>IFERROR(VLOOKUP(A19,_raw!B:L,5,FALSE),"")</f>
        <v/>
      </c>
      <c r="D19" s="4">
        <f>IFERROR(VLOOKUP(A19,_raw!B:L,2,FALSE),"")</f>
        <v/>
      </c>
      <c r="E19" s="4">
        <f>IFERROR(VLOOKUP(A19,_raw!B:L,8,FALSE),"")</f>
        <v/>
      </c>
      <c r="F19" s="5">
        <f>IFERROR(VLOOKUP(A19,_raw!B:L,9,FALSE),"")</f>
        <v/>
      </c>
      <c r="H19" s="6" t="n"/>
      <c r="I19" s="7">
        <f>IF(payout_mult="","",SQRT(1/payout_mult))</f>
        <v/>
      </c>
      <c r="J19" s="7">
        <f>IF(OR(H19="",I19=""),"",H19-I19)</f>
        <v/>
      </c>
      <c r="K19" s="7">
        <f>IFERROR(IF(OR(H19="",J19&lt;=0),0,MIN(0.25,MAX(0,(H19*(payout_mult^(1/2)-1)-(1-H19))/(payout_mult^(1/2)-1)/2))),0)</f>
        <v/>
      </c>
      <c r="L19" s="8">
        <f>IF(J19="","",IF(J19&gt;=0.10,"A+",IF(J19&gt;=0.07,"A",IF(J19&gt;=0.04,"B",IF(J19&gt;=0.02,"C",IF(J19&gt;0,"D","F"))))))</f>
        <v/>
      </c>
    </row>
    <row r="20">
      <c r="B20" s="4">
        <f>IFERROR(VLOOKUP(A20,_raw!B:L,4,FALSE),"")</f>
        <v/>
      </c>
      <c r="C20" s="4">
        <f>IFERROR(VLOOKUP(A20,_raw!B:L,5,FALSE),"")</f>
        <v/>
      </c>
      <c r="D20" s="4">
        <f>IFERROR(VLOOKUP(A20,_raw!B:L,2,FALSE),"")</f>
        <v/>
      </c>
      <c r="E20" s="4">
        <f>IFERROR(VLOOKUP(A20,_raw!B:L,8,FALSE),"")</f>
        <v/>
      </c>
      <c r="F20" s="5">
        <f>IFERROR(VLOOKUP(A20,_raw!B:L,9,FALSE),"")</f>
        <v/>
      </c>
      <c r="H20" s="6" t="n"/>
      <c r="I20" s="7">
        <f>IF(payout_mult="","",SQRT(1/payout_mult))</f>
        <v/>
      </c>
      <c r="J20" s="7">
        <f>IF(OR(H20="",I20=""),"",H20-I20)</f>
        <v/>
      </c>
      <c r="K20" s="7">
        <f>IFERROR(IF(OR(H20="",J20&lt;=0),0,MIN(0.25,MAX(0,(H20*(payout_mult^(1/2)-1)-(1-H20))/(payout_mult^(1/2)-1)/2))),0)</f>
        <v/>
      </c>
      <c r="L20" s="8">
        <f>IF(J20="","",IF(J20&gt;=0.10,"A+",IF(J20&gt;=0.07,"A",IF(J20&gt;=0.04,"B",IF(J20&gt;=0.02,"C",IF(J20&gt;0,"D","F"))))))</f>
        <v/>
      </c>
    </row>
    <row r="21">
      <c r="B21" s="4">
        <f>IFERROR(VLOOKUP(A21,_raw!B:L,4,FALSE),"")</f>
        <v/>
      </c>
      <c r="C21" s="4">
        <f>IFERROR(VLOOKUP(A21,_raw!B:L,5,FALSE),"")</f>
        <v/>
      </c>
      <c r="D21" s="4">
        <f>IFERROR(VLOOKUP(A21,_raw!B:L,2,FALSE),"")</f>
        <v/>
      </c>
      <c r="E21" s="4">
        <f>IFERROR(VLOOKUP(A21,_raw!B:L,8,FALSE),"")</f>
        <v/>
      </c>
      <c r="F21" s="5">
        <f>IFERROR(VLOOKUP(A21,_raw!B:L,9,FALSE),"")</f>
        <v/>
      </c>
      <c r="H21" s="6" t="n"/>
      <c r="I21" s="7">
        <f>IF(payout_mult="","",SQRT(1/payout_mult))</f>
        <v/>
      </c>
      <c r="J21" s="7">
        <f>IF(OR(H21="",I21=""),"",H21-I21)</f>
        <v/>
      </c>
      <c r="K21" s="7">
        <f>IFERROR(IF(OR(H21="",J21&lt;=0),0,MIN(0.25,MAX(0,(H21*(payout_mult^(1/2)-1)-(1-H21))/(payout_mult^(1/2)-1)/2))),0)</f>
        <v/>
      </c>
      <c r="L21" s="8">
        <f>IF(J21="","",IF(J21&gt;=0.10,"A+",IF(J21&gt;=0.07,"A",IF(J21&gt;=0.04,"B",IF(J21&gt;=0.02,"C",IF(J21&gt;0,"D","F"))))))</f>
        <v/>
      </c>
    </row>
    <row r="22">
      <c r="B22" s="4">
        <f>IFERROR(VLOOKUP(A22,_raw!B:L,4,FALSE),"")</f>
        <v/>
      </c>
      <c r="C22" s="4">
        <f>IFERROR(VLOOKUP(A22,_raw!B:L,5,FALSE),"")</f>
        <v/>
      </c>
      <c r="D22" s="4">
        <f>IFERROR(VLOOKUP(A22,_raw!B:L,2,FALSE),"")</f>
        <v/>
      </c>
      <c r="E22" s="4">
        <f>IFERROR(VLOOKUP(A22,_raw!B:L,8,FALSE),"")</f>
        <v/>
      </c>
      <c r="F22" s="5">
        <f>IFERROR(VLOOKUP(A22,_raw!B:L,9,FALSE),"")</f>
        <v/>
      </c>
      <c r="H22" s="6" t="n"/>
      <c r="I22" s="7">
        <f>IF(payout_mult="","",SQRT(1/payout_mult))</f>
        <v/>
      </c>
      <c r="J22" s="7">
        <f>IF(OR(H22="",I22=""),"",H22-I22)</f>
        <v/>
      </c>
      <c r="K22" s="7">
        <f>IFERROR(IF(OR(H22="",J22&lt;=0),0,MIN(0.25,MAX(0,(H22*(payout_mult^(1/2)-1)-(1-H22))/(payout_mult^(1/2)-1)/2))),0)</f>
        <v/>
      </c>
      <c r="L22" s="8">
        <f>IF(J22="","",IF(J22&gt;=0.10,"A+",IF(J22&gt;=0.07,"A",IF(J22&gt;=0.04,"B",IF(J22&gt;=0.02,"C",IF(J22&gt;0,"D","F"))))))</f>
        <v/>
      </c>
    </row>
    <row r="23">
      <c r="B23" s="4">
        <f>IFERROR(VLOOKUP(A23,_raw!B:L,4,FALSE),"")</f>
        <v/>
      </c>
      <c r="C23" s="4">
        <f>IFERROR(VLOOKUP(A23,_raw!B:L,5,FALSE),"")</f>
        <v/>
      </c>
      <c r="D23" s="4">
        <f>IFERROR(VLOOKUP(A23,_raw!B:L,2,FALSE),"")</f>
        <v/>
      </c>
      <c r="E23" s="4">
        <f>IFERROR(VLOOKUP(A23,_raw!B:L,8,FALSE),"")</f>
        <v/>
      </c>
      <c r="F23" s="5">
        <f>IFERROR(VLOOKUP(A23,_raw!B:L,9,FALSE),"")</f>
        <v/>
      </c>
      <c r="H23" s="6" t="n"/>
      <c r="I23" s="7">
        <f>IF(payout_mult="","",SQRT(1/payout_mult))</f>
        <v/>
      </c>
      <c r="J23" s="7">
        <f>IF(OR(H23="",I23=""),"",H23-I23)</f>
        <v/>
      </c>
      <c r="K23" s="7">
        <f>IFERROR(IF(OR(H23="",J23&lt;=0),0,MIN(0.25,MAX(0,(H23*(payout_mult^(1/2)-1)-(1-H23))/(payout_mult^(1/2)-1)/2))),0)</f>
        <v/>
      </c>
      <c r="L23" s="8">
        <f>IF(J23="","",IF(J23&gt;=0.10,"A+",IF(J23&gt;=0.07,"A",IF(J23&gt;=0.04,"B",IF(J23&gt;=0.02,"C",IF(J23&gt;0,"D","F"))))))</f>
        <v/>
      </c>
    </row>
    <row r="24">
      <c r="B24" s="4">
        <f>IFERROR(VLOOKUP(A24,_raw!B:L,4,FALSE),"")</f>
        <v/>
      </c>
      <c r="C24" s="4">
        <f>IFERROR(VLOOKUP(A24,_raw!B:L,5,FALSE),"")</f>
        <v/>
      </c>
      <c r="D24" s="4">
        <f>IFERROR(VLOOKUP(A24,_raw!B:L,2,FALSE),"")</f>
        <v/>
      </c>
      <c r="E24" s="4">
        <f>IFERROR(VLOOKUP(A24,_raw!B:L,8,FALSE),"")</f>
        <v/>
      </c>
      <c r="F24" s="5">
        <f>IFERROR(VLOOKUP(A24,_raw!B:L,9,FALSE),"")</f>
        <v/>
      </c>
      <c r="H24" s="6" t="n"/>
      <c r="I24" s="7">
        <f>IF(payout_mult="","",SQRT(1/payout_mult))</f>
        <v/>
      </c>
      <c r="J24" s="7">
        <f>IF(OR(H24="",I24=""),"",H24-I24)</f>
        <v/>
      </c>
      <c r="K24" s="7">
        <f>IFERROR(IF(OR(H24="",J24&lt;=0),0,MIN(0.25,MAX(0,(H24*(payout_mult^(1/2)-1)-(1-H24))/(payout_mult^(1/2)-1)/2))),0)</f>
        <v/>
      </c>
      <c r="L24" s="8">
        <f>IF(J24="","",IF(J24&gt;=0.10,"A+",IF(J24&gt;=0.07,"A",IF(J24&gt;=0.04,"B",IF(J24&gt;=0.02,"C",IF(J24&gt;0,"D","F"))))))</f>
        <v/>
      </c>
    </row>
    <row r="25">
      <c r="B25" s="4">
        <f>IFERROR(VLOOKUP(A25,_raw!B:L,4,FALSE),"")</f>
        <v/>
      </c>
      <c r="C25" s="4">
        <f>IFERROR(VLOOKUP(A25,_raw!B:L,5,FALSE),"")</f>
        <v/>
      </c>
      <c r="D25" s="4">
        <f>IFERROR(VLOOKUP(A25,_raw!B:L,2,FALSE),"")</f>
        <v/>
      </c>
      <c r="E25" s="4">
        <f>IFERROR(VLOOKUP(A25,_raw!B:L,8,FALSE),"")</f>
        <v/>
      </c>
      <c r="F25" s="5">
        <f>IFERROR(VLOOKUP(A25,_raw!B:L,9,FALSE),"")</f>
        <v/>
      </c>
      <c r="H25" s="6" t="n"/>
      <c r="I25" s="7">
        <f>IF(payout_mult="","",SQRT(1/payout_mult))</f>
        <v/>
      </c>
      <c r="J25" s="7">
        <f>IF(OR(H25="",I25=""),"",H25-I25)</f>
        <v/>
      </c>
      <c r="K25" s="7">
        <f>IFERROR(IF(OR(H25="",J25&lt;=0),0,MIN(0.25,MAX(0,(H25*(payout_mult^(1/2)-1)-(1-H25))/(payout_mult^(1/2)-1)/2))),0)</f>
        <v/>
      </c>
      <c r="L25" s="8">
        <f>IF(J25="","",IF(J25&gt;=0.10,"A+",IF(J25&gt;=0.07,"A",IF(J25&gt;=0.04,"B",IF(J25&gt;=0.02,"C",IF(J25&gt;0,"D","F"))))))</f>
        <v/>
      </c>
    </row>
    <row r="26">
      <c r="B26" s="4">
        <f>IFERROR(VLOOKUP(A26,_raw!B:L,4,FALSE),"")</f>
        <v/>
      </c>
      <c r="C26" s="4">
        <f>IFERROR(VLOOKUP(A26,_raw!B:L,5,FALSE),"")</f>
        <v/>
      </c>
      <c r="D26" s="4">
        <f>IFERROR(VLOOKUP(A26,_raw!B:L,2,FALSE),"")</f>
        <v/>
      </c>
      <c r="E26" s="4">
        <f>IFERROR(VLOOKUP(A26,_raw!B:L,8,FALSE),"")</f>
        <v/>
      </c>
      <c r="F26" s="5">
        <f>IFERROR(VLOOKUP(A26,_raw!B:L,9,FALSE),"")</f>
        <v/>
      </c>
      <c r="H26" s="6" t="n"/>
      <c r="I26" s="7">
        <f>IF(payout_mult="","",SQRT(1/payout_mult))</f>
        <v/>
      </c>
      <c r="J26" s="7">
        <f>IF(OR(H26="",I26=""),"",H26-I26)</f>
        <v/>
      </c>
      <c r="K26" s="7">
        <f>IFERROR(IF(OR(H26="",J26&lt;=0),0,MIN(0.25,MAX(0,(H26*(payout_mult^(1/2)-1)-(1-H26))/(payout_mult^(1/2)-1)/2))),0)</f>
        <v/>
      </c>
      <c r="L26" s="8">
        <f>IF(J26="","",IF(J26&gt;=0.10,"A+",IF(J26&gt;=0.07,"A",IF(J26&gt;=0.04,"B",IF(J26&gt;=0.02,"C",IF(J26&gt;0,"D","F"))))))</f>
        <v/>
      </c>
    </row>
    <row r="27">
      <c r="B27" s="4">
        <f>IFERROR(VLOOKUP(A27,_raw!B:L,4,FALSE),"")</f>
        <v/>
      </c>
      <c r="C27" s="4">
        <f>IFERROR(VLOOKUP(A27,_raw!B:L,5,FALSE),"")</f>
        <v/>
      </c>
      <c r="D27" s="4">
        <f>IFERROR(VLOOKUP(A27,_raw!B:L,2,FALSE),"")</f>
        <v/>
      </c>
      <c r="E27" s="4">
        <f>IFERROR(VLOOKUP(A27,_raw!B:L,8,FALSE),"")</f>
        <v/>
      </c>
      <c r="F27" s="5">
        <f>IFERROR(VLOOKUP(A27,_raw!B:L,9,FALSE),"")</f>
        <v/>
      </c>
      <c r="H27" s="6" t="n"/>
      <c r="I27" s="7">
        <f>IF(payout_mult="","",SQRT(1/payout_mult))</f>
        <v/>
      </c>
      <c r="J27" s="7">
        <f>IF(OR(H27="",I27=""),"",H27-I27)</f>
        <v/>
      </c>
      <c r="K27" s="7">
        <f>IFERROR(IF(OR(H27="",J27&lt;=0),0,MIN(0.25,MAX(0,(H27*(payout_mult^(1/2)-1)-(1-H27))/(payout_mult^(1/2)-1)/2))),0)</f>
        <v/>
      </c>
      <c r="L27" s="8">
        <f>IF(J27="","",IF(J27&gt;=0.10,"A+",IF(J27&gt;=0.07,"A",IF(J27&gt;=0.04,"B",IF(J27&gt;=0.02,"C",IF(J27&gt;0,"D","F"))))))</f>
        <v/>
      </c>
    </row>
    <row r="28">
      <c r="B28" s="4">
        <f>IFERROR(VLOOKUP(A28,_raw!B:L,4,FALSE),"")</f>
        <v/>
      </c>
      <c r="C28" s="4">
        <f>IFERROR(VLOOKUP(A28,_raw!B:L,5,FALSE),"")</f>
        <v/>
      </c>
      <c r="D28" s="4">
        <f>IFERROR(VLOOKUP(A28,_raw!B:L,2,FALSE),"")</f>
        <v/>
      </c>
      <c r="E28" s="4">
        <f>IFERROR(VLOOKUP(A28,_raw!B:L,8,FALSE),"")</f>
        <v/>
      </c>
      <c r="F28" s="5">
        <f>IFERROR(VLOOKUP(A28,_raw!B:L,9,FALSE),"")</f>
        <v/>
      </c>
      <c r="H28" s="6" t="n"/>
      <c r="I28" s="7">
        <f>IF(payout_mult="","",SQRT(1/payout_mult))</f>
        <v/>
      </c>
      <c r="J28" s="7">
        <f>IF(OR(H28="",I28=""),"",H28-I28)</f>
        <v/>
      </c>
      <c r="K28" s="7">
        <f>IFERROR(IF(OR(H28="",J28&lt;=0),0,MIN(0.25,MAX(0,(H28*(payout_mult^(1/2)-1)-(1-H28))/(payout_mult^(1/2)-1)/2))),0)</f>
        <v/>
      </c>
      <c r="L28" s="8">
        <f>IF(J28="","",IF(J28&gt;=0.10,"A+",IF(J28&gt;=0.07,"A",IF(J28&gt;=0.04,"B",IF(J28&gt;=0.02,"C",IF(J28&gt;0,"D","F"))))))</f>
        <v/>
      </c>
    </row>
    <row r="29">
      <c r="B29" s="4">
        <f>IFERROR(VLOOKUP(A29,_raw!B:L,4,FALSE),"")</f>
        <v/>
      </c>
      <c r="C29" s="4">
        <f>IFERROR(VLOOKUP(A29,_raw!B:L,5,FALSE),"")</f>
        <v/>
      </c>
      <c r="D29" s="4">
        <f>IFERROR(VLOOKUP(A29,_raw!B:L,2,FALSE),"")</f>
        <v/>
      </c>
      <c r="E29" s="4">
        <f>IFERROR(VLOOKUP(A29,_raw!B:L,8,FALSE),"")</f>
        <v/>
      </c>
      <c r="F29" s="5">
        <f>IFERROR(VLOOKUP(A29,_raw!B:L,9,FALSE),"")</f>
        <v/>
      </c>
      <c r="H29" s="6" t="n"/>
      <c r="I29" s="7">
        <f>IF(payout_mult="","",SQRT(1/payout_mult))</f>
        <v/>
      </c>
      <c r="J29" s="7">
        <f>IF(OR(H29="",I29=""),"",H29-I29)</f>
        <v/>
      </c>
      <c r="K29" s="7">
        <f>IFERROR(IF(OR(H29="",J29&lt;=0),0,MIN(0.25,MAX(0,(H29*(payout_mult^(1/2)-1)-(1-H29))/(payout_mult^(1/2)-1)/2))),0)</f>
        <v/>
      </c>
      <c r="L29" s="8">
        <f>IF(J29="","",IF(J29&gt;=0.10,"A+",IF(J29&gt;=0.07,"A",IF(J29&gt;=0.04,"B",IF(J29&gt;=0.02,"C",IF(J29&gt;0,"D","F"))))))</f>
        <v/>
      </c>
    </row>
    <row r="30">
      <c r="B30" s="4">
        <f>IFERROR(VLOOKUP(A30,_raw!B:L,4,FALSE),"")</f>
        <v/>
      </c>
      <c r="C30" s="4">
        <f>IFERROR(VLOOKUP(A30,_raw!B:L,5,FALSE),"")</f>
        <v/>
      </c>
      <c r="D30" s="4">
        <f>IFERROR(VLOOKUP(A30,_raw!B:L,2,FALSE),"")</f>
        <v/>
      </c>
      <c r="E30" s="4">
        <f>IFERROR(VLOOKUP(A30,_raw!B:L,8,FALSE),"")</f>
        <v/>
      </c>
      <c r="F30" s="5">
        <f>IFERROR(VLOOKUP(A30,_raw!B:L,9,FALSE),"")</f>
        <v/>
      </c>
      <c r="H30" s="6" t="n"/>
      <c r="I30" s="7">
        <f>IF(payout_mult="","",SQRT(1/payout_mult))</f>
        <v/>
      </c>
      <c r="J30" s="7">
        <f>IF(OR(H30="",I30=""),"",H30-I30)</f>
        <v/>
      </c>
      <c r="K30" s="7">
        <f>IFERROR(IF(OR(H30="",J30&lt;=0),0,MIN(0.25,MAX(0,(H30*(payout_mult^(1/2)-1)-(1-H30))/(payout_mult^(1/2)-1)/2))),0)</f>
        <v/>
      </c>
      <c r="L30" s="8">
        <f>IF(J30="","",IF(J30&gt;=0.10,"A+",IF(J30&gt;=0.07,"A",IF(J30&gt;=0.04,"B",IF(J30&gt;=0.02,"C",IF(J30&gt;0,"D","F"))))))</f>
        <v/>
      </c>
    </row>
    <row r="31">
      <c r="B31" s="4">
        <f>IFERROR(VLOOKUP(A31,_raw!B:L,4,FALSE),"")</f>
        <v/>
      </c>
      <c r="C31" s="4">
        <f>IFERROR(VLOOKUP(A31,_raw!B:L,5,FALSE),"")</f>
        <v/>
      </c>
      <c r="D31" s="4">
        <f>IFERROR(VLOOKUP(A31,_raw!B:L,2,FALSE),"")</f>
        <v/>
      </c>
      <c r="E31" s="4">
        <f>IFERROR(VLOOKUP(A31,_raw!B:L,8,FALSE),"")</f>
        <v/>
      </c>
      <c r="F31" s="5">
        <f>IFERROR(VLOOKUP(A31,_raw!B:L,9,FALSE),"")</f>
        <v/>
      </c>
      <c r="H31" s="6" t="n"/>
      <c r="I31" s="7">
        <f>IF(payout_mult="","",SQRT(1/payout_mult))</f>
        <v/>
      </c>
      <c r="J31" s="7">
        <f>IF(OR(H31="",I31=""),"",H31-I31)</f>
        <v/>
      </c>
      <c r="K31" s="7">
        <f>IFERROR(IF(OR(H31="",J31&lt;=0),0,MIN(0.25,MAX(0,(H31*(payout_mult^(1/2)-1)-(1-H31))/(payout_mult^(1/2)-1)/2))),0)</f>
        <v/>
      </c>
      <c r="L31" s="8">
        <f>IF(J31="","",IF(J31&gt;=0.10,"A+",IF(J31&gt;=0.07,"A",IF(J31&gt;=0.04,"B",IF(J31&gt;=0.02,"C",IF(J31&gt;0,"D","F"))))))</f>
        <v/>
      </c>
    </row>
    <row r="32">
      <c r="B32" s="4">
        <f>IFERROR(VLOOKUP(A32,_raw!B:L,4,FALSE),"")</f>
        <v/>
      </c>
      <c r="C32" s="4">
        <f>IFERROR(VLOOKUP(A32,_raw!B:L,5,FALSE),"")</f>
        <v/>
      </c>
      <c r="D32" s="4">
        <f>IFERROR(VLOOKUP(A32,_raw!B:L,2,FALSE),"")</f>
        <v/>
      </c>
      <c r="E32" s="4">
        <f>IFERROR(VLOOKUP(A32,_raw!B:L,8,FALSE),"")</f>
        <v/>
      </c>
      <c r="F32" s="5">
        <f>IFERROR(VLOOKUP(A32,_raw!B:L,9,FALSE),"")</f>
        <v/>
      </c>
      <c r="H32" s="6" t="n"/>
      <c r="I32" s="7">
        <f>IF(payout_mult="","",SQRT(1/payout_mult))</f>
        <v/>
      </c>
      <c r="J32" s="7">
        <f>IF(OR(H32="",I32=""),"",H32-I32)</f>
        <v/>
      </c>
      <c r="K32" s="7">
        <f>IFERROR(IF(OR(H32="",J32&lt;=0),0,MIN(0.25,MAX(0,(H32*(payout_mult^(1/2)-1)-(1-H32))/(payout_mult^(1/2)-1)/2))),0)</f>
        <v/>
      </c>
      <c r="L32" s="8">
        <f>IF(J32="","",IF(J32&gt;=0.10,"A+",IF(J32&gt;=0.07,"A",IF(J32&gt;=0.04,"B",IF(J32&gt;=0.02,"C",IF(J32&gt;0,"D","F"))))))</f>
        <v/>
      </c>
    </row>
    <row r="33">
      <c r="B33" s="4">
        <f>IFERROR(VLOOKUP(A33,_raw!B:L,4,FALSE),"")</f>
        <v/>
      </c>
      <c r="C33" s="4">
        <f>IFERROR(VLOOKUP(A33,_raw!B:L,5,FALSE),"")</f>
        <v/>
      </c>
      <c r="D33" s="4">
        <f>IFERROR(VLOOKUP(A33,_raw!B:L,2,FALSE),"")</f>
        <v/>
      </c>
      <c r="E33" s="4">
        <f>IFERROR(VLOOKUP(A33,_raw!B:L,8,FALSE),"")</f>
        <v/>
      </c>
      <c r="F33" s="5">
        <f>IFERROR(VLOOKUP(A33,_raw!B:L,9,FALSE),"")</f>
        <v/>
      </c>
      <c r="H33" s="6" t="n"/>
      <c r="I33" s="7">
        <f>IF(payout_mult="","",SQRT(1/payout_mult))</f>
        <v/>
      </c>
      <c r="J33" s="7">
        <f>IF(OR(H33="",I33=""),"",H33-I33)</f>
        <v/>
      </c>
      <c r="K33" s="7">
        <f>IFERROR(IF(OR(H33="",J33&lt;=0),0,MIN(0.25,MAX(0,(H33*(payout_mult^(1/2)-1)-(1-H33))/(payout_mult^(1/2)-1)/2))),0)</f>
        <v/>
      </c>
      <c r="L33" s="8">
        <f>IF(J33="","",IF(J33&gt;=0.10,"A+",IF(J33&gt;=0.07,"A",IF(J33&gt;=0.04,"B",IF(J33&gt;=0.02,"C",IF(J33&gt;0,"D","F"))))))</f>
        <v/>
      </c>
    </row>
    <row r="34">
      <c r="B34" s="4">
        <f>IFERROR(VLOOKUP(A34,_raw!B:L,4,FALSE),"")</f>
        <v/>
      </c>
      <c r="C34" s="4">
        <f>IFERROR(VLOOKUP(A34,_raw!B:L,5,FALSE),"")</f>
        <v/>
      </c>
      <c r="D34" s="4">
        <f>IFERROR(VLOOKUP(A34,_raw!B:L,2,FALSE),"")</f>
        <v/>
      </c>
      <c r="E34" s="4">
        <f>IFERROR(VLOOKUP(A34,_raw!B:L,8,FALSE),"")</f>
        <v/>
      </c>
      <c r="F34" s="5">
        <f>IFERROR(VLOOKUP(A34,_raw!B:L,9,FALSE),"")</f>
        <v/>
      </c>
      <c r="H34" s="6" t="n"/>
      <c r="I34" s="7">
        <f>IF(payout_mult="","",SQRT(1/payout_mult))</f>
        <v/>
      </c>
      <c r="J34" s="7">
        <f>IF(OR(H34="",I34=""),"",H34-I34)</f>
        <v/>
      </c>
      <c r="K34" s="7">
        <f>IFERROR(IF(OR(H34="",J34&lt;=0),0,MIN(0.25,MAX(0,(H34*(payout_mult^(1/2)-1)-(1-H34))/(payout_mult^(1/2)-1)/2))),0)</f>
        <v/>
      </c>
      <c r="L34" s="8">
        <f>IF(J34="","",IF(J34&gt;=0.10,"A+",IF(J34&gt;=0.07,"A",IF(J34&gt;=0.04,"B",IF(J34&gt;=0.02,"C",IF(J34&gt;0,"D","F"))))))</f>
        <v/>
      </c>
    </row>
    <row r="35">
      <c r="B35" s="4">
        <f>IFERROR(VLOOKUP(A35,_raw!B:L,4,FALSE),"")</f>
        <v/>
      </c>
      <c r="C35" s="4">
        <f>IFERROR(VLOOKUP(A35,_raw!B:L,5,FALSE),"")</f>
        <v/>
      </c>
      <c r="D35" s="4">
        <f>IFERROR(VLOOKUP(A35,_raw!B:L,2,FALSE),"")</f>
        <v/>
      </c>
      <c r="E35" s="4">
        <f>IFERROR(VLOOKUP(A35,_raw!B:L,8,FALSE),"")</f>
        <v/>
      </c>
      <c r="F35" s="5">
        <f>IFERROR(VLOOKUP(A35,_raw!B:L,9,FALSE),"")</f>
        <v/>
      </c>
      <c r="H35" s="6" t="n"/>
      <c r="I35" s="7">
        <f>IF(payout_mult="","",SQRT(1/payout_mult))</f>
        <v/>
      </c>
      <c r="J35" s="7">
        <f>IF(OR(H35="",I35=""),"",H35-I35)</f>
        <v/>
      </c>
      <c r="K35" s="7">
        <f>IFERROR(IF(OR(H35="",J35&lt;=0),0,MIN(0.25,MAX(0,(H35*(payout_mult^(1/2)-1)-(1-H35))/(payout_mult^(1/2)-1)/2))),0)</f>
        <v/>
      </c>
      <c r="L35" s="8">
        <f>IF(J35="","",IF(J35&gt;=0.10,"A+",IF(J35&gt;=0.07,"A",IF(J35&gt;=0.04,"B",IF(J35&gt;=0.02,"C",IF(J35&gt;0,"D","F"))))))</f>
        <v/>
      </c>
    </row>
    <row r="36">
      <c r="B36" s="4">
        <f>IFERROR(VLOOKUP(A36,_raw!B:L,4,FALSE),"")</f>
        <v/>
      </c>
      <c r="C36" s="4">
        <f>IFERROR(VLOOKUP(A36,_raw!B:L,5,FALSE),"")</f>
        <v/>
      </c>
      <c r="D36" s="4">
        <f>IFERROR(VLOOKUP(A36,_raw!B:L,2,FALSE),"")</f>
        <v/>
      </c>
      <c r="E36" s="4">
        <f>IFERROR(VLOOKUP(A36,_raw!B:L,8,FALSE),"")</f>
        <v/>
      </c>
      <c r="F36" s="5">
        <f>IFERROR(VLOOKUP(A36,_raw!B:L,9,FALSE),"")</f>
        <v/>
      </c>
      <c r="H36" s="6" t="n"/>
      <c r="I36" s="7">
        <f>IF(payout_mult="","",SQRT(1/payout_mult))</f>
        <v/>
      </c>
      <c r="J36" s="7">
        <f>IF(OR(H36="",I36=""),"",H36-I36)</f>
        <v/>
      </c>
      <c r="K36" s="7">
        <f>IFERROR(IF(OR(H36="",J36&lt;=0),0,MIN(0.25,MAX(0,(H36*(payout_mult^(1/2)-1)-(1-H36))/(payout_mult^(1/2)-1)/2))),0)</f>
        <v/>
      </c>
      <c r="L36" s="8">
        <f>IF(J36="","",IF(J36&gt;=0.10,"A+",IF(J36&gt;=0.07,"A",IF(J36&gt;=0.04,"B",IF(J36&gt;=0.02,"C",IF(J36&gt;0,"D","F"))))))</f>
        <v/>
      </c>
    </row>
    <row r="37">
      <c r="B37" s="4">
        <f>IFERROR(VLOOKUP(A37,_raw!B:L,4,FALSE),"")</f>
        <v/>
      </c>
      <c r="C37" s="4">
        <f>IFERROR(VLOOKUP(A37,_raw!B:L,5,FALSE),"")</f>
        <v/>
      </c>
      <c r="D37" s="4">
        <f>IFERROR(VLOOKUP(A37,_raw!B:L,2,FALSE),"")</f>
        <v/>
      </c>
      <c r="E37" s="4">
        <f>IFERROR(VLOOKUP(A37,_raw!B:L,8,FALSE),"")</f>
        <v/>
      </c>
      <c r="F37" s="5">
        <f>IFERROR(VLOOKUP(A37,_raw!B:L,9,FALSE),"")</f>
        <v/>
      </c>
      <c r="H37" s="6" t="n"/>
      <c r="I37" s="7">
        <f>IF(payout_mult="","",SQRT(1/payout_mult))</f>
        <v/>
      </c>
      <c r="J37" s="7">
        <f>IF(OR(H37="",I37=""),"",H37-I37)</f>
        <v/>
      </c>
      <c r="K37" s="7">
        <f>IFERROR(IF(OR(H37="",J37&lt;=0),0,MIN(0.25,MAX(0,(H37*(payout_mult^(1/2)-1)-(1-H37))/(payout_mult^(1/2)-1)/2))),0)</f>
        <v/>
      </c>
      <c r="L37" s="8">
        <f>IF(J37="","",IF(J37&gt;=0.10,"A+",IF(J37&gt;=0.07,"A",IF(J37&gt;=0.04,"B",IF(J37&gt;=0.02,"C",IF(J37&gt;0,"D","F"))))))</f>
        <v/>
      </c>
    </row>
    <row r="38">
      <c r="B38" s="4">
        <f>IFERROR(VLOOKUP(A38,_raw!B:L,4,FALSE),"")</f>
        <v/>
      </c>
      <c r="C38" s="4">
        <f>IFERROR(VLOOKUP(A38,_raw!B:L,5,FALSE),"")</f>
        <v/>
      </c>
      <c r="D38" s="4">
        <f>IFERROR(VLOOKUP(A38,_raw!B:L,2,FALSE),"")</f>
        <v/>
      </c>
      <c r="E38" s="4">
        <f>IFERROR(VLOOKUP(A38,_raw!B:L,8,FALSE),"")</f>
        <v/>
      </c>
      <c r="F38" s="5">
        <f>IFERROR(VLOOKUP(A38,_raw!B:L,9,FALSE),"")</f>
        <v/>
      </c>
      <c r="H38" s="6" t="n"/>
      <c r="I38" s="7">
        <f>IF(payout_mult="","",SQRT(1/payout_mult))</f>
        <v/>
      </c>
      <c r="J38" s="7">
        <f>IF(OR(H38="",I38=""),"",H38-I38)</f>
        <v/>
      </c>
      <c r="K38" s="7">
        <f>IFERROR(IF(OR(H38="",J38&lt;=0),0,MIN(0.25,MAX(0,(H38*(payout_mult^(1/2)-1)-(1-H38))/(payout_mult^(1/2)-1)/2))),0)</f>
        <v/>
      </c>
      <c r="L38" s="8">
        <f>IF(J38="","",IF(J38&gt;=0.10,"A+",IF(J38&gt;=0.07,"A",IF(J38&gt;=0.04,"B",IF(J38&gt;=0.02,"C",IF(J38&gt;0,"D","F"))))))</f>
        <v/>
      </c>
    </row>
    <row r="39">
      <c r="B39" s="4">
        <f>IFERROR(VLOOKUP(A39,_raw!B:L,4,FALSE),"")</f>
        <v/>
      </c>
      <c r="C39" s="4">
        <f>IFERROR(VLOOKUP(A39,_raw!B:L,5,FALSE),"")</f>
        <v/>
      </c>
      <c r="D39" s="4">
        <f>IFERROR(VLOOKUP(A39,_raw!B:L,2,FALSE),"")</f>
        <v/>
      </c>
      <c r="E39" s="4">
        <f>IFERROR(VLOOKUP(A39,_raw!B:L,8,FALSE),"")</f>
        <v/>
      </c>
      <c r="F39" s="5">
        <f>IFERROR(VLOOKUP(A39,_raw!B:L,9,FALSE),"")</f>
        <v/>
      </c>
      <c r="H39" s="6" t="n"/>
      <c r="I39" s="7">
        <f>IF(payout_mult="","",SQRT(1/payout_mult))</f>
        <v/>
      </c>
      <c r="J39" s="7">
        <f>IF(OR(H39="",I39=""),"",H39-I39)</f>
        <v/>
      </c>
      <c r="K39" s="7">
        <f>IFERROR(IF(OR(H39="",J39&lt;=0),0,MIN(0.25,MAX(0,(H39*(payout_mult^(1/2)-1)-(1-H39))/(payout_mult^(1/2)-1)/2))),0)</f>
        <v/>
      </c>
      <c r="L39" s="8">
        <f>IF(J39="","",IF(J39&gt;=0.10,"A+",IF(J39&gt;=0.07,"A",IF(J39&gt;=0.04,"B",IF(J39&gt;=0.02,"C",IF(J39&gt;0,"D","F"))))))</f>
        <v/>
      </c>
    </row>
    <row r="40">
      <c r="B40" s="4">
        <f>IFERROR(VLOOKUP(A40,_raw!B:L,4,FALSE),"")</f>
        <v/>
      </c>
      <c r="C40" s="4">
        <f>IFERROR(VLOOKUP(A40,_raw!B:L,5,FALSE),"")</f>
        <v/>
      </c>
      <c r="D40" s="4">
        <f>IFERROR(VLOOKUP(A40,_raw!B:L,2,FALSE),"")</f>
        <v/>
      </c>
      <c r="E40" s="4">
        <f>IFERROR(VLOOKUP(A40,_raw!B:L,8,FALSE),"")</f>
        <v/>
      </c>
      <c r="F40" s="5">
        <f>IFERROR(VLOOKUP(A40,_raw!B:L,9,FALSE),"")</f>
        <v/>
      </c>
      <c r="H40" s="6" t="n"/>
      <c r="I40" s="7">
        <f>IF(payout_mult="","",SQRT(1/payout_mult))</f>
        <v/>
      </c>
      <c r="J40" s="7">
        <f>IF(OR(H40="",I40=""),"",H40-I40)</f>
        <v/>
      </c>
      <c r="K40" s="7">
        <f>IFERROR(IF(OR(H40="",J40&lt;=0),0,MIN(0.25,MAX(0,(H40*(payout_mult^(1/2)-1)-(1-H40))/(payout_mult^(1/2)-1)/2))),0)</f>
        <v/>
      </c>
      <c r="L40" s="8">
        <f>IF(J40="","",IF(J40&gt;=0.10,"A+",IF(J40&gt;=0.07,"A",IF(J40&gt;=0.04,"B",IF(J40&gt;=0.02,"C",IF(J40&gt;0,"D","F"))))))</f>
        <v/>
      </c>
    </row>
    <row r="41">
      <c r="B41" s="4">
        <f>IFERROR(VLOOKUP(A41,_raw!B:L,4,FALSE),"")</f>
        <v/>
      </c>
      <c r="C41" s="4">
        <f>IFERROR(VLOOKUP(A41,_raw!B:L,5,FALSE),"")</f>
        <v/>
      </c>
      <c r="D41" s="4">
        <f>IFERROR(VLOOKUP(A41,_raw!B:L,2,FALSE),"")</f>
        <v/>
      </c>
      <c r="E41" s="4">
        <f>IFERROR(VLOOKUP(A41,_raw!B:L,8,FALSE),"")</f>
        <v/>
      </c>
      <c r="F41" s="5">
        <f>IFERROR(VLOOKUP(A41,_raw!B:L,9,FALSE),"")</f>
        <v/>
      </c>
      <c r="H41" s="6" t="n"/>
      <c r="I41" s="7">
        <f>IF(payout_mult="","",SQRT(1/payout_mult))</f>
        <v/>
      </c>
      <c r="J41" s="7">
        <f>IF(OR(H41="",I41=""),"",H41-I41)</f>
        <v/>
      </c>
      <c r="K41" s="7">
        <f>IFERROR(IF(OR(H41="",J41&lt;=0),0,MIN(0.25,MAX(0,(H41*(payout_mult^(1/2)-1)-(1-H41))/(payout_mult^(1/2)-1)/2))),0)</f>
        <v/>
      </c>
      <c r="L41" s="8">
        <f>IF(J41="","",IF(J41&gt;=0.10,"A+",IF(J41&gt;=0.07,"A",IF(J41&gt;=0.04,"B",IF(J41&gt;=0.02,"C",IF(J41&gt;0,"D","F"))))))</f>
        <v/>
      </c>
    </row>
    <row r="42">
      <c r="B42" s="4">
        <f>IFERROR(VLOOKUP(A42,_raw!B:L,4,FALSE),"")</f>
        <v/>
      </c>
      <c r="C42" s="4">
        <f>IFERROR(VLOOKUP(A42,_raw!B:L,5,FALSE),"")</f>
        <v/>
      </c>
      <c r="D42" s="4">
        <f>IFERROR(VLOOKUP(A42,_raw!B:L,2,FALSE),"")</f>
        <v/>
      </c>
      <c r="E42" s="4">
        <f>IFERROR(VLOOKUP(A42,_raw!B:L,8,FALSE),"")</f>
        <v/>
      </c>
      <c r="F42" s="5">
        <f>IFERROR(VLOOKUP(A42,_raw!B:L,9,FALSE),"")</f>
        <v/>
      </c>
      <c r="H42" s="6" t="n"/>
      <c r="I42" s="7">
        <f>IF(payout_mult="","",SQRT(1/payout_mult))</f>
        <v/>
      </c>
      <c r="J42" s="7">
        <f>IF(OR(H42="",I42=""),"",H42-I42)</f>
        <v/>
      </c>
      <c r="K42" s="7">
        <f>IFERROR(IF(OR(H42="",J42&lt;=0),0,MIN(0.25,MAX(0,(H42*(payout_mult^(1/2)-1)-(1-H42))/(payout_mult^(1/2)-1)/2))),0)</f>
        <v/>
      </c>
      <c r="L42" s="8">
        <f>IF(J42="","",IF(J42&gt;=0.10,"A+",IF(J42&gt;=0.07,"A",IF(J42&gt;=0.04,"B",IF(J42&gt;=0.02,"C",IF(J42&gt;0,"D","F"))))))</f>
        <v/>
      </c>
    </row>
    <row r="43">
      <c r="B43" s="4">
        <f>IFERROR(VLOOKUP(A43,_raw!B:L,4,FALSE),"")</f>
        <v/>
      </c>
      <c r="C43" s="4">
        <f>IFERROR(VLOOKUP(A43,_raw!B:L,5,FALSE),"")</f>
        <v/>
      </c>
      <c r="D43" s="4">
        <f>IFERROR(VLOOKUP(A43,_raw!B:L,2,FALSE),"")</f>
        <v/>
      </c>
      <c r="E43" s="4">
        <f>IFERROR(VLOOKUP(A43,_raw!B:L,8,FALSE),"")</f>
        <v/>
      </c>
      <c r="F43" s="5">
        <f>IFERROR(VLOOKUP(A43,_raw!B:L,9,FALSE),"")</f>
        <v/>
      </c>
      <c r="H43" s="6" t="n"/>
      <c r="I43" s="7">
        <f>IF(payout_mult="","",SQRT(1/payout_mult))</f>
        <v/>
      </c>
      <c r="J43" s="7">
        <f>IF(OR(H43="",I43=""),"",H43-I43)</f>
        <v/>
      </c>
      <c r="K43" s="7">
        <f>IFERROR(IF(OR(H43="",J43&lt;=0),0,MIN(0.25,MAX(0,(H43*(payout_mult^(1/2)-1)-(1-H43))/(payout_mult^(1/2)-1)/2))),0)</f>
        <v/>
      </c>
      <c r="L43" s="8">
        <f>IF(J43="","",IF(J43&gt;=0.10,"A+",IF(J43&gt;=0.07,"A",IF(J43&gt;=0.04,"B",IF(J43&gt;=0.02,"C",IF(J43&gt;0,"D","F"))))))</f>
        <v/>
      </c>
    </row>
    <row r="44">
      <c r="B44" s="4">
        <f>IFERROR(VLOOKUP(A44,_raw!B:L,4,FALSE),"")</f>
        <v/>
      </c>
      <c r="C44" s="4">
        <f>IFERROR(VLOOKUP(A44,_raw!B:L,5,FALSE),"")</f>
        <v/>
      </c>
      <c r="D44" s="4">
        <f>IFERROR(VLOOKUP(A44,_raw!B:L,2,FALSE),"")</f>
        <v/>
      </c>
      <c r="E44" s="4">
        <f>IFERROR(VLOOKUP(A44,_raw!B:L,8,FALSE),"")</f>
        <v/>
      </c>
      <c r="F44" s="5">
        <f>IFERROR(VLOOKUP(A44,_raw!B:L,9,FALSE),"")</f>
        <v/>
      </c>
      <c r="H44" s="6" t="n"/>
      <c r="I44" s="7">
        <f>IF(payout_mult="","",SQRT(1/payout_mult))</f>
        <v/>
      </c>
      <c r="J44" s="7">
        <f>IF(OR(H44="",I44=""),"",H44-I44)</f>
        <v/>
      </c>
      <c r="K44" s="7">
        <f>IFERROR(IF(OR(H44="",J44&lt;=0),0,MIN(0.25,MAX(0,(H44*(payout_mult^(1/2)-1)-(1-H44))/(payout_mult^(1/2)-1)/2))),0)</f>
        <v/>
      </c>
      <c r="L44" s="8">
        <f>IF(J44="","",IF(J44&gt;=0.10,"A+",IF(J44&gt;=0.07,"A",IF(J44&gt;=0.04,"B",IF(J44&gt;=0.02,"C",IF(J44&gt;0,"D","F"))))))</f>
        <v/>
      </c>
    </row>
    <row r="45">
      <c r="B45" s="4">
        <f>IFERROR(VLOOKUP(A45,_raw!B:L,4,FALSE),"")</f>
        <v/>
      </c>
      <c r="C45" s="4">
        <f>IFERROR(VLOOKUP(A45,_raw!B:L,5,FALSE),"")</f>
        <v/>
      </c>
      <c r="D45" s="4">
        <f>IFERROR(VLOOKUP(A45,_raw!B:L,2,FALSE),"")</f>
        <v/>
      </c>
      <c r="E45" s="4">
        <f>IFERROR(VLOOKUP(A45,_raw!B:L,8,FALSE),"")</f>
        <v/>
      </c>
      <c r="F45" s="5">
        <f>IFERROR(VLOOKUP(A45,_raw!B:L,9,FALSE),"")</f>
        <v/>
      </c>
      <c r="H45" s="6" t="n"/>
      <c r="I45" s="7">
        <f>IF(payout_mult="","",SQRT(1/payout_mult))</f>
        <v/>
      </c>
      <c r="J45" s="7">
        <f>IF(OR(H45="",I45=""),"",H45-I45)</f>
        <v/>
      </c>
      <c r="K45" s="7">
        <f>IFERROR(IF(OR(H45="",J45&lt;=0),0,MIN(0.25,MAX(0,(H45*(payout_mult^(1/2)-1)-(1-H45))/(payout_mult^(1/2)-1)/2))),0)</f>
        <v/>
      </c>
      <c r="L45" s="8">
        <f>IF(J45="","",IF(J45&gt;=0.10,"A+",IF(J45&gt;=0.07,"A",IF(J45&gt;=0.04,"B",IF(J45&gt;=0.02,"C",IF(J45&gt;0,"D","F"))))))</f>
        <v/>
      </c>
    </row>
    <row r="46">
      <c r="B46" s="4">
        <f>IFERROR(VLOOKUP(A46,_raw!B:L,4,FALSE),"")</f>
        <v/>
      </c>
      <c r="C46" s="4">
        <f>IFERROR(VLOOKUP(A46,_raw!B:L,5,FALSE),"")</f>
        <v/>
      </c>
      <c r="D46" s="4">
        <f>IFERROR(VLOOKUP(A46,_raw!B:L,2,FALSE),"")</f>
        <v/>
      </c>
      <c r="E46" s="4">
        <f>IFERROR(VLOOKUP(A46,_raw!B:L,8,FALSE),"")</f>
        <v/>
      </c>
      <c r="F46" s="5">
        <f>IFERROR(VLOOKUP(A46,_raw!B:L,9,FALSE),"")</f>
        <v/>
      </c>
      <c r="H46" s="6" t="n"/>
      <c r="I46" s="7">
        <f>IF(payout_mult="","",SQRT(1/payout_mult))</f>
        <v/>
      </c>
      <c r="J46" s="7">
        <f>IF(OR(H46="",I46=""),"",H46-I46)</f>
        <v/>
      </c>
      <c r="K46" s="7">
        <f>IFERROR(IF(OR(H46="",J46&lt;=0),0,MIN(0.25,MAX(0,(H46*(payout_mult^(1/2)-1)-(1-H46))/(payout_mult^(1/2)-1)/2))),0)</f>
        <v/>
      </c>
      <c r="L46" s="8">
        <f>IF(J46="","",IF(J46&gt;=0.10,"A+",IF(J46&gt;=0.07,"A",IF(J46&gt;=0.04,"B",IF(J46&gt;=0.02,"C",IF(J46&gt;0,"D","F"))))))</f>
        <v/>
      </c>
    </row>
    <row r="47">
      <c r="B47" s="4">
        <f>IFERROR(VLOOKUP(A47,_raw!B:L,4,FALSE),"")</f>
        <v/>
      </c>
      <c r="C47" s="4">
        <f>IFERROR(VLOOKUP(A47,_raw!B:L,5,FALSE),"")</f>
        <v/>
      </c>
      <c r="D47" s="4">
        <f>IFERROR(VLOOKUP(A47,_raw!B:L,2,FALSE),"")</f>
        <v/>
      </c>
      <c r="E47" s="4">
        <f>IFERROR(VLOOKUP(A47,_raw!B:L,8,FALSE),"")</f>
        <v/>
      </c>
      <c r="F47" s="5">
        <f>IFERROR(VLOOKUP(A47,_raw!B:L,9,FALSE),"")</f>
        <v/>
      </c>
      <c r="H47" s="6" t="n"/>
      <c r="I47" s="7">
        <f>IF(payout_mult="","",SQRT(1/payout_mult))</f>
        <v/>
      </c>
      <c r="J47" s="7">
        <f>IF(OR(H47="",I47=""),"",H47-I47)</f>
        <v/>
      </c>
      <c r="K47" s="7">
        <f>IFERROR(IF(OR(H47="",J47&lt;=0),0,MIN(0.25,MAX(0,(H47*(payout_mult^(1/2)-1)-(1-H47))/(payout_mult^(1/2)-1)/2))),0)</f>
        <v/>
      </c>
      <c r="L47" s="8">
        <f>IF(J47="","",IF(J47&gt;=0.10,"A+",IF(J47&gt;=0.07,"A",IF(J47&gt;=0.04,"B",IF(J47&gt;=0.02,"C",IF(J47&gt;0,"D","F"))))))</f>
        <v/>
      </c>
    </row>
    <row r="48">
      <c r="B48" s="4">
        <f>IFERROR(VLOOKUP(A48,_raw!B:L,4,FALSE),"")</f>
        <v/>
      </c>
      <c r="C48" s="4">
        <f>IFERROR(VLOOKUP(A48,_raw!B:L,5,FALSE),"")</f>
        <v/>
      </c>
      <c r="D48" s="4">
        <f>IFERROR(VLOOKUP(A48,_raw!B:L,2,FALSE),"")</f>
        <v/>
      </c>
      <c r="E48" s="4">
        <f>IFERROR(VLOOKUP(A48,_raw!B:L,8,FALSE),"")</f>
        <v/>
      </c>
      <c r="F48" s="5">
        <f>IFERROR(VLOOKUP(A48,_raw!B:L,9,FALSE),"")</f>
        <v/>
      </c>
      <c r="H48" s="6" t="n"/>
      <c r="I48" s="7">
        <f>IF(payout_mult="","",SQRT(1/payout_mult))</f>
        <v/>
      </c>
      <c r="J48" s="7">
        <f>IF(OR(H48="",I48=""),"",H48-I48)</f>
        <v/>
      </c>
      <c r="K48" s="7">
        <f>IFERROR(IF(OR(H48="",J48&lt;=0),0,MIN(0.25,MAX(0,(H48*(payout_mult^(1/2)-1)-(1-H48))/(payout_mult^(1/2)-1)/2))),0)</f>
        <v/>
      </c>
      <c r="L48" s="8">
        <f>IF(J48="","",IF(J48&gt;=0.10,"A+",IF(J48&gt;=0.07,"A",IF(J48&gt;=0.04,"B",IF(J48&gt;=0.02,"C",IF(J48&gt;0,"D","F"))))))</f>
        <v/>
      </c>
    </row>
    <row r="49">
      <c r="B49" s="4">
        <f>IFERROR(VLOOKUP(A49,_raw!B:L,4,FALSE),"")</f>
        <v/>
      </c>
      <c r="C49" s="4">
        <f>IFERROR(VLOOKUP(A49,_raw!B:L,5,FALSE),"")</f>
        <v/>
      </c>
      <c r="D49" s="4">
        <f>IFERROR(VLOOKUP(A49,_raw!B:L,2,FALSE),"")</f>
        <v/>
      </c>
      <c r="E49" s="4">
        <f>IFERROR(VLOOKUP(A49,_raw!B:L,8,FALSE),"")</f>
        <v/>
      </c>
      <c r="F49" s="5">
        <f>IFERROR(VLOOKUP(A49,_raw!B:L,9,FALSE),"")</f>
        <v/>
      </c>
      <c r="H49" s="6" t="n"/>
      <c r="I49" s="7">
        <f>IF(payout_mult="","",SQRT(1/payout_mult))</f>
        <v/>
      </c>
      <c r="J49" s="7">
        <f>IF(OR(H49="",I49=""),"",H49-I49)</f>
        <v/>
      </c>
      <c r="K49" s="7">
        <f>IFERROR(IF(OR(H49="",J49&lt;=0),0,MIN(0.25,MAX(0,(H49*(payout_mult^(1/2)-1)-(1-H49))/(payout_mult^(1/2)-1)/2))),0)</f>
        <v/>
      </c>
      <c r="L49" s="8">
        <f>IF(J49="","",IF(J49&gt;=0.10,"A+",IF(J49&gt;=0.07,"A",IF(J49&gt;=0.04,"B",IF(J49&gt;=0.02,"C",IF(J49&gt;0,"D","F"))))))</f>
        <v/>
      </c>
    </row>
    <row r="50">
      <c r="B50" s="4">
        <f>IFERROR(VLOOKUP(A50,_raw!B:L,4,FALSE),"")</f>
        <v/>
      </c>
      <c r="C50" s="4">
        <f>IFERROR(VLOOKUP(A50,_raw!B:L,5,FALSE),"")</f>
        <v/>
      </c>
      <c r="D50" s="4">
        <f>IFERROR(VLOOKUP(A50,_raw!B:L,2,FALSE),"")</f>
        <v/>
      </c>
      <c r="E50" s="4">
        <f>IFERROR(VLOOKUP(A50,_raw!B:L,8,FALSE),"")</f>
        <v/>
      </c>
      <c r="F50" s="5">
        <f>IFERROR(VLOOKUP(A50,_raw!B:L,9,FALSE),"")</f>
        <v/>
      </c>
      <c r="H50" s="6" t="n"/>
      <c r="I50" s="7">
        <f>IF(payout_mult="","",SQRT(1/payout_mult))</f>
        <v/>
      </c>
      <c r="J50" s="7">
        <f>IF(OR(H50="",I50=""),"",H50-I50)</f>
        <v/>
      </c>
      <c r="K50" s="7">
        <f>IFERROR(IF(OR(H50="",J50&lt;=0),0,MIN(0.25,MAX(0,(H50*(payout_mult^(1/2)-1)-(1-H50))/(payout_mult^(1/2)-1)/2))),0)</f>
        <v/>
      </c>
      <c r="L50" s="8">
        <f>IF(J50="","",IF(J50&gt;=0.10,"A+",IF(J50&gt;=0.07,"A",IF(J50&gt;=0.04,"B",IF(J50&gt;=0.02,"C",IF(J50&gt;0,"D","F"))))))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projection_id</t>
        </is>
      </c>
      <c r="B1" s="1" t="inlineStr">
        <is>
          <t>player</t>
        </is>
      </c>
      <c r="C1" s="1" t="inlineStr">
        <is>
          <t>stat_type</t>
        </is>
      </c>
      <c r="D1" s="1" t="inlineStr">
        <is>
          <t>line</t>
        </is>
      </c>
      <c r="E1" s="1" t="inlineStr">
        <is>
          <t>pick</t>
        </is>
      </c>
      <c r="F1" s="1" t="inlineStr">
        <is>
          <t>actual</t>
        </is>
      </c>
      <c r="G1" s="1" t="inlineStr">
        <is>
          <t>hit</t>
        </is>
      </c>
      <c r="H1" s="1" t="inlineStr">
        <is>
          <t>units_risked</t>
        </is>
      </c>
      <c r="I1" s="1" t="inlineStr">
        <is>
          <t>pl_units</t>
        </is>
      </c>
      <c r="J1" s="1" t="inlineStr">
        <is>
          <t>note</t>
        </is>
      </c>
    </row>
    <row r="2">
      <c r="G2">
        <f>IF(F2="","",IF(E2="over",IF(F2&gt;D2,1,IF(F2&lt;D2,0,"push")),IF(F2&lt;D2,1,IF(F2&gt;D2,0,"push"))))</f>
        <v/>
      </c>
      <c r="H2" s="10" t="n"/>
      <c r="I2" s="10">
        <f>IF(G2="push",0,IF(G2=1,H2*(picks!Q1^(1/2)-1),IF(G2=0,-H2,"")))</f>
        <v/>
      </c>
    </row>
    <row r="3">
      <c r="G3">
        <f>IF(F3="","",IF(E3="over",IF(F3&gt;D3,1,IF(F3&lt;D3,0,"push")),IF(F3&lt;D3,1,IF(F3&gt;D3,0,"push"))))</f>
        <v/>
      </c>
      <c r="H3" s="10" t="n"/>
      <c r="I3" s="10">
        <f>IF(G3="push",0,IF(G3=1,H3*(picks!Q1^(1/2)-1),IF(G3=0,-H3,"")))</f>
        <v/>
      </c>
    </row>
    <row r="4">
      <c r="G4">
        <f>IF(F4="","",IF(E4="over",IF(F4&gt;D4,1,IF(F4&lt;D4,0,"push")),IF(F4&lt;D4,1,IF(F4&gt;D4,0,"push"))))</f>
        <v/>
      </c>
      <c r="H4" s="10" t="n"/>
      <c r="I4" s="10">
        <f>IF(G4="push",0,IF(G4=1,H4*(picks!Q1^(1/2)-1),IF(G4=0,-H4,"")))</f>
        <v/>
      </c>
    </row>
    <row r="5">
      <c r="G5">
        <f>IF(F5="","",IF(E5="over",IF(F5&gt;D5,1,IF(F5&lt;D5,0,"push")),IF(F5&lt;D5,1,IF(F5&gt;D5,0,"push"))))</f>
        <v/>
      </c>
      <c r="H5" s="10" t="n"/>
      <c r="I5" s="10">
        <f>IF(G5="push",0,IF(G5=1,H5*(picks!Q1^(1/2)-1),IF(G5=0,-H5,"")))</f>
        <v/>
      </c>
    </row>
    <row r="6">
      <c r="G6">
        <f>IF(F6="","",IF(E6="over",IF(F6&gt;D6,1,IF(F6&lt;D6,0,"push")),IF(F6&lt;D6,1,IF(F6&gt;D6,0,"push"))))</f>
        <v/>
      </c>
      <c r="H6" s="10" t="n"/>
      <c r="I6" s="10">
        <f>IF(G6="push",0,IF(G6=1,H6*(picks!Q1^(1/2)-1),IF(G6=0,-H6,"")))</f>
        <v/>
      </c>
    </row>
    <row r="7">
      <c r="G7">
        <f>IF(F7="","",IF(E7="over",IF(F7&gt;D7,1,IF(F7&lt;D7,0,"push")),IF(F7&lt;D7,1,IF(F7&gt;D7,0,"push"))))</f>
        <v/>
      </c>
      <c r="H7" s="10" t="n"/>
      <c r="I7" s="10">
        <f>IF(G7="push",0,IF(G7=1,H7*(picks!Q1^(1/2)-1),IF(G7=0,-H7,"")))</f>
        <v/>
      </c>
    </row>
    <row r="8">
      <c r="G8">
        <f>IF(F8="","",IF(E8="over",IF(F8&gt;D8,1,IF(F8&lt;D8,0,"push")),IF(F8&lt;D8,1,IF(F8&gt;D8,0,"push"))))</f>
        <v/>
      </c>
      <c r="H8" s="10" t="n"/>
      <c r="I8" s="10">
        <f>IF(G8="push",0,IF(G8=1,H8*(picks!Q1^(1/2)-1),IF(G8=0,-H8,"")))</f>
        <v/>
      </c>
    </row>
    <row r="9">
      <c r="G9">
        <f>IF(F9="","",IF(E9="over",IF(F9&gt;D9,1,IF(F9&lt;D9,0,"push")),IF(F9&lt;D9,1,IF(F9&gt;D9,0,"push"))))</f>
        <v/>
      </c>
      <c r="H9" s="10" t="n"/>
      <c r="I9" s="10">
        <f>IF(G9="push",0,IF(G9=1,H9*(picks!Q1^(1/2)-1),IF(G9=0,-H9,"")))</f>
        <v/>
      </c>
    </row>
    <row r="10">
      <c r="G10">
        <f>IF(F10="","",IF(E10="over",IF(F10&gt;D10,1,IF(F10&lt;D10,0,"push")),IF(F10&lt;D10,1,IF(F10&gt;D10,0,"push"))))</f>
        <v/>
      </c>
      <c r="H10" s="10" t="n"/>
      <c r="I10" s="10">
        <f>IF(G10="push",0,IF(G10=1,H10*(picks!Q1^(1/2)-1),IF(G10=0,-H10,"")))</f>
        <v/>
      </c>
    </row>
    <row r="11">
      <c r="G11">
        <f>IF(F11="","",IF(E11="over",IF(F11&gt;D11,1,IF(F11&lt;D11,0,"push")),IF(F11&lt;D11,1,IF(F11&gt;D11,0,"push"))))</f>
        <v/>
      </c>
      <c r="H11" s="10" t="n"/>
      <c r="I11" s="10">
        <f>IF(G11="push",0,IF(G11=1,H11*(picks!Q1^(1/2)-1),IF(G11=0,-H11,"")))</f>
        <v/>
      </c>
    </row>
    <row r="12">
      <c r="G12">
        <f>IF(F12="","",IF(E12="over",IF(F12&gt;D12,1,IF(F12&lt;D12,0,"push")),IF(F12&lt;D12,1,IF(F12&gt;D12,0,"push"))))</f>
        <v/>
      </c>
      <c r="H12" s="10" t="n"/>
      <c r="I12" s="10">
        <f>IF(G12="push",0,IF(G12=1,H12*(picks!Q1^(1/2)-1),IF(G12=0,-H12,"")))</f>
        <v/>
      </c>
    </row>
    <row r="13">
      <c r="G13">
        <f>IF(F13="","",IF(E13="over",IF(F13&gt;D13,1,IF(F13&lt;D13,0,"push")),IF(F13&lt;D13,1,IF(F13&gt;D13,0,"push"))))</f>
        <v/>
      </c>
      <c r="H13" s="10" t="n"/>
      <c r="I13" s="10">
        <f>IF(G13="push",0,IF(G13=1,H13*(picks!Q1^(1/2)-1),IF(G13=0,-H13,"")))</f>
        <v/>
      </c>
    </row>
    <row r="14">
      <c r="G14">
        <f>IF(F14="","",IF(E14="over",IF(F14&gt;D14,1,IF(F14&lt;D14,0,"push")),IF(F14&lt;D14,1,IF(F14&gt;D14,0,"push"))))</f>
        <v/>
      </c>
      <c r="H14" s="10" t="n"/>
      <c r="I14" s="10">
        <f>IF(G14="push",0,IF(G14=1,H14*(picks!Q1^(1/2)-1),IF(G14=0,-H14,"")))</f>
        <v/>
      </c>
    </row>
    <row r="15">
      <c r="G15">
        <f>IF(F15="","",IF(E15="over",IF(F15&gt;D15,1,IF(F15&lt;D15,0,"push")),IF(F15&lt;D15,1,IF(F15&gt;D15,0,"push"))))</f>
        <v/>
      </c>
      <c r="H15" s="10" t="n"/>
      <c r="I15" s="10">
        <f>IF(G15="push",0,IF(G15=1,H15*(picks!Q1^(1/2)-1),IF(G15=0,-H15,"")))</f>
        <v/>
      </c>
    </row>
    <row r="16">
      <c r="G16">
        <f>IF(F16="","",IF(E16="over",IF(F16&gt;D16,1,IF(F16&lt;D16,0,"push")),IF(F16&lt;D16,1,IF(F16&gt;D16,0,"push"))))</f>
        <v/>
      </c>
      <c r="H16" s="10" t="n"/>
      <c r="I16" s="10">
        <f>IF(G16="push",0,IF(G16=1,H16*(picks!Q1^(1/2)-1),IF(G16=0,-H16,"")))</f>
        <v/>
      </c>
    </row>
    <row r="17">
      <c r="G17">
        <f>IF(F17="","",IF(E17="over",IF(F17&gt;D17,1,IF(F17&lt;D17,0,"push")),IF(F17&lt;D17,1,IF(F17&gt;D17,0,"push"))))</f>
        <v/>
      </c>
      <c r="H17" s="10" t="n"/>
      <c r="I17" s="10">
        <f>IF(G17="push",0,IF(G17=1,H17*(picks!Q1^(1/2)-1),IF(G17=0,-H17,"")))</f>
        <v/>
      </c>
    </row>
    <row r="18">
      <c r="G18">
        <f>IF(F18="","",IF(E18="over",IF(F18&gt;D18,1,IF(F18&lt;D18,0,"push")),IF(F18&lt;D18,1,IF(F18&gt;D18,0,"push"))))</f>
        <v/>
      </c>
      <c r="H18" s="10" t="n"/>
      <c r="I18" s="10">
        <f>IF(G18="push",0,IF(G18=1,H18*(picks!Q1^(1/2)-1),IF(G18=0,-H18,"")))</f>
        <v/>
      </c>
    </row>
    <row r="19">
      <c r="G19">
        <f>IF(F19="","",IF(E19="over",IF(F19&gt;D19,1,IF(F19&lt;D19,0,"push")),IF(F19&lt;D19,1,IF(F19&gt;D19,0,"push"))))</f>
        <v/>
      </c>
      <c r="H19" s="10" t="n"/>
      <c r="I19" s="10">
        <f>IF(G19="push",0,IF(G19=1,H19*(picks!Q1^(1/2)-1),IF(G19=0,-H19,"")))</f>
        <v/>
      </c>
    </row>
    <row r="20">
      <c r="G20">
        <f>IF(F20="","",IF(E20="over",IF(F20&gt;D20,1,IF(F20&lt;D20,0,"push")),IF(F20&lt;D20,1,IF(F20&gt;D20,0,"push"))))</f>
        <v/>
      </c>
      <c r="H20" s="10" t="n"/>
      <c r="I20" s="10">
        <f>IF(G20="push",0,IF(G20=1,H20*(picks!Q1^(1/2)-1),IF(G20=0,-H20,"")))</f>
        <v/>
      </c>
    </row>
    <row r="21">
      <c r="G21">
        <f>IF(F21="","",IF(E21="over",IF(F21&gt;D21,1,IF(F21&lt;D21,0,"push")),IF(F21&lt;D21,1,IF(F21&gt;D21,0,"push"))))</f>
        <v/>
      </c>
      <c r="H21" s="10" t="n"/>
      <c r="I21" s="10">
        <f>IF(G21="push",0,IF(G21=1,H21*(picks!Q1^(1/2)-1),IF(G21=0,-H21,"")))</f>
        <v/>
      </c>
    </row>
    <row r="22">
      <c r="G22">
        <f>IF(F22="","",IF(E22="over",IF(F22&gt;D22,1,IF(F22&lt;D22,0,"push")),IF(F22&lt;D22,1,IF(F22&gt;D22,0,"push"))))</f>
        <v/>
      </c>
      <c r="H22" s="10" t="n"/>
      <c r="I22" s="10">
        <f>IF(G22="push",0,IF(G22=1,H22*(picks!Q1^(1/2)-1),IF(G22=0,-H22,"")))</f>
        <v/>
      </c>
    </row>
    <row r="23">
      <c r="G23">
        <f>IF(F23="","",IF(E23="over",IF(F23&gt;D23,1,IF(F23&lt;D23,0,"push")),IF(F23&lt;D23,1,IF(F23&gt;D23,0,"push"))))</f>
        <v/>
      </c>
      <c r="H23" s="10" t="n"/>
      <c r="I23" s="10">
        <f>IF(G23="push",0,IF(G23=1,H23*(picks!Q1^(1/2)-1),IF(G23=0,-H23,"")))</f>
        <v/>
      </c>
    </row>
    <row r="24">
      <c r="G24">
        <f>IF(F24="","",IF(E24="over",IF(F24&gt;D24,1,IF(F24&lt;D24,0,"push")),IF(F24&lt;D24,1,IF(F24&gt;D24,0,"push"))))</f>
        <v/>
      </c>
      <c r="H24" s="10" t="n"/>
      <c r="I24" s="10">
        <f>IF(G24="push",0,IF(G24=1,H24*(picks!Q1^(1/2)-1),IF(G24=0,-H24,"")))</f>
        <v/>
      </c>
    </row>
    <row r="25">
      <c r="G25">
        <f>IF(F25="","",IF(E25="over",IF(F25&gt;D25,1,IF(F25&lt;D25,0,"push")),IF(F25&lt;D25,1,IF(F25&gt;D25,0,"push"))))</f>
        <v/>
      </c>
      <c r="H25" s="10" t="n"/>
      <c r="I25" s="10">
        <f>IF(G25="push",0,IF(G25=1,H25*(picks!Q1^(1/2)-1),IF(G25=0,-H25,"")))</f>
        <v/>
      </c>
    </row>
    <row r="26">
      <c r="G26">
        <f>IF(F26="","",IF(E26="over",IF(F26&gt;D26,1,IF(F26&lt;D26,0,"push")),IF(F26&lt;D26,1,IF(F26&gt;D26,0,"push"))))</f>
        <v/>
      </c>
      <c r="H26" s="10" t="n"/>
      <c r="I26" s="10">
        <f>IF(G26="push",0,IF(G26=1,H26*(picks!Q1^(1/2)-1),IF(G26=0,-H26,"")))</f>
        <v/>
      </c>
    </row>
    <row r="27">
      <c r="G27">
        <f>IF(F27="","",IF(E27="over",IF(F27&gt;D27,1,IF(F27&lt;D27,0,"push")),IF(F27&lt;D27,1,IF(F27&gt;D27,0,"push"))))</f>
        <v/>
      </c>
      <c r="H27" s="10" t="n"/>
      <c r="I27" s="10">
        <f>IF(G27="push",0,IF(G27=1,H27*(picks!Q1^(1/2)-1),IF(G27=0,-H27,"")))</f>
        <v/>
      </c>
    </row>
    <row r="28">
      <c r="G28">
        <f>IF(F28="","",IF(E28="over",IF(F28&gt;D28,1,IF(F28&lt;D28,0,"push")),IF(F28&lt;D28,1,IF(F28&gt;D28,0,"push"))))</f>
        <v/>
      </c>
      <c r="H28" s="10" t="n"/>
      <c r="I28" s="10">
        <f>IF(G28="push",0,IF(G28=1,H28*(picks!Q1^(1/2)-1),IF(G28=0,-H28,"")))</f>
        <v/>
      </c>
    </row>
    <row r="29">
      <c r="G29">
        <f>IF(F29="","",IF(E29="over",IF(F29&gt;D29,1,IF(F29&lt;D29,0,"push")),IF(F29&lt;D29,1,IF(F29&gt;D29,0,"push"))))</f>
        <v/>
      </c>
      <c r="H29" s="10" t="n"/>
      <c r="I29" s="10">
        <f>IF(G29="push",0,IF(G29=1,H29*(picks!Q1^(1/2)-1),IF(G29=0,-H29,"")))</f>
        <v/>
      </c>
    </row>
    <row r="30">
      <c r="G30">
        <f>IF(F30="","",IF(E30="over",IF(F30&gt;D30,1,IF(F30&lt;D30,0,"push")),IF(F30&lt;D30,1,IF(F30&gt;D30,0,"push"))))</f>
        <v/>
      </c>
      <c r="H30" s="10" t="n"/>
      <c r="I30" s="10">
        <f>IF(G30="push",0,IF(G30=1,H30*(picks!Q1^(1/2)-1),IF(G30=0,-H30,"")))</f>
        <v/>
      </c>
    </row>
    <row r="31">
      <c r="G31">
        <f>IF(F31="","",IF(E31="over",IF(F31&gt;D31,1,IF(F31&lt;D31,0,"push")),IF(F31&lt;D31,1,IF(F31&gt;D31,0,"push"))))</f>
        <v/>
      </c>
      <c r="H31" s="10" t="n"/>
      <c r="I31" s="10">
        <f>IF(G31="push",0,IF(G31=1,H31*(picks!Q1^(1/2)-1),IF(G31=0,-H31,"")))</f>
        <v/>
      </c>
    </row>
    <row r="32">
      <c r="G32">
        <f>IF(F32="","",IF(E32="over",IF(F32&gt;D32,1,IF(F32&lt;D32,0,"push")),IF(F32&lt;D32,1,IF(F32&gt;D32,0,"push"))))</f>
        <v/>
      </c>
      <c r="H32" s="10" t="n"/>
      <c r="I32" s="10">
        <f>IF(G32="push",0,IF(G32=1,H32*(picks!Q1^(1/2)-1),IF(G32=0,-H32,"")))</f>
        <v/>
      </c>
    </row>
    <row r="33">
      <c r="G33">
        <f>IF(F33="","",IF(E33="over",IF(F33&gt;D33,1,IF(F33&lt;D33,0,"push")),IF(F33&lt;D33,1,IF(F33&gt;D33,0,"push"))))</f>
        <v/>
      </c>
      <c r="H33" s="10" t="n"/>
      <c r="I33" s="10">
        <f>IF(G33="push",0,IF(G33=1,H33*(picks!Q1^(1/2)-1),IF(G33=0,-H33,"")))</f>
        <v/>
      </c>
    </row>
    <row r="34">
      <c r="G34">
        <f>IF(F34="","",IF(E34="over",IF(F34&gt;D34,1,IF(F34&lt;D34,0,"push")),IF(F34&lt;D34,1,IF(F34&gt;D34,0,"push"))))</f>
        <v/>
      </c>
      <c r="H34" s="10" t="n"/>
      <c r="I34" s="10">
        <f>IF(G34="push",0,IF(G34=1,H34*(picks!Q1^(1/2)-1),IF(G34=0,-H34,"")))</f>
        <v/>
      </c>
    </row>
    <row r="35">
      <c r="G35">
        <f>IF(F35="","",IF(E35="over",IF(F35&gt;D35,1,IF(F35&lt;D35,0,"push")),IF(F35&lt;D35,1,IF(F35&gt;D35,0,"push"))))</f>
        <v/>
      </c>
      <c r="H35" s="10" t="n"/>
      <c r="I35" s="10">
        <f>IF(G35="push",0,IF(G35=1,H35*(picks!Q1^(1/2)-1),IF(G35=0,-H35,"")))</f>
        <v/>
      </c>
    </row>
    <row r="36">
      <c r="G36">
        <f>IF(F36="","",IF(E36="over",IF(F36&gt;D36,1,IF(F36&lt;D36,0,"push")),IF(F36&lt;D36,1,IF(F36&gt;D36,0,"push"))))</f>
        <v/>
      </c>
      <c r="H36" s="10" t="n"/>
      <c r="I36" s="10">
        <f>IF(G36="push",0,IF(G36=1,H36*(picks!Q1^(1/2)-1),IF(G36=0,-H36,"")))</f>
        <v/>
      </c>
    </row>
    <row r="37">
      <c r="G37">
        <f>IF(F37="","",IF(E37="over",IF(F37&gt;D37,1,IF(F37&lt;D37,0,"push")),IF(F37&lt;D37,1,IF(F37&gt;D37,0,"push"))))</f>
        <v/>
      </c>
      <c r="H37" s="10" t="n"/>
      <c r="I37" s="10">
        <f>IF(G37="push",0,IF(G37=1,H37*(picks!Q1^(1/2)-1),IF(G37=0,-H37,"")))</f>
        <v/>
      </c>
    </row>
    <row r="38">
      <c r="G38">
        <f>IF(F38="","",IF(E38="over",IF(F38&gt;D38,1,IF(F38&lt;D38,0,"push")),IF(F38&lt;D38,1,IF(F38&gt;D38,0,"push"))))</f>
        <v/>
      </c>
      <c r="H38" s="10" t="n"/>
      <c r="I38" s="10">
        <f>IF(G38="push",0,IF(G38=1,H38*(picks!Q1^(1/2)-1),IF(G38=0,-H38,"")))</f>
        <v/>
      </c>
    </row>
    <row r="39">
      <c r="G39">
        <f>IF(F39="","",IF(E39="over",IF(F39&gt;D39,1,IF(F39&lt;D39,0,"push")),IF(F39&lt;D39,1,IF(F39&gt;D39,0,"push"))))</f>
        <v/>
      </c>
      <c r="H39" s="10" t="n"/>
      <c r="I39" s="10">
        <f>IF(G39="push",0,IF(G39=1,H39*(picks!Q1^(1/2)-1),IF(G39=0,-H39,"")))</f>
        <v/>
      </c>
    </row>
    <row r="40">
      <c r="G40">
        <f>IF(F40="","",IF(E40="over",IF(F40&gt;D40,1,IF(F40&lt;D40,0,"push")),IF(F40&lt;D40,1,IF(F40&gt;D40,0,"push"))))</f>
        <v/>
      </c>
      <c r="H40" s="10" t="n"/>
      <c r="I40" s="10">
        <f>IF(G40="push",0,IF(G40=1,H40*(picks!Q1^(1/2)-1),IF(G40=0,-H40,"")))</f>
        <v/>
      </c>
    </row>
    <row r="41">
      <c r="G41">
        <f>IF(F41="","",IF(E41="over",IF(F41&gt;D41,1,IF(F41&lt;D41,0,"push")),IF(F41&lt;D41,1,IF(F41&gt;D41,0,"push"))))</f>
        <v/>
      </c>
      <c r="H41" s="10" t="n"/>
      <c r="I41" s="10">
        <f>IF(G41="push",0,IF(G41=1,H41*(picks!Q1^(1/2)-1),IF(G41=0,-H41,"")))</f>
        <v/>
      </c>
    </row>
    <row r="42">
      <c r="G42">
        <f>IF(F42="","",IF(E42="over",IF(F42&gt;D42,1,IF(F42&lt;D42,0,"push")),IF(F42&lt;D42,1,IF(F42&gt;D42,0,"push"))))</f>
        <v/>
      </c>
      <c r="H42" s="10" t="n"/>
      <c r="I42" s="10">
        <f>IF(G42="push",0,IF(G42=1,H42*(picks!Q1^(1/2)-1),IF(G42=0,-H42,"")))</f>
        <v/>
      </c>
    </row>
    <row r="43">
      <c r="G43">
        <f>IF(F43="","",IF(E43="over",IF(F43&gt;D43,1,IF(F43&lt;D43,0,"push")),IF(F43&lt;D43,1,IF(F43&gt;D43,0,"push"))))</f>
        <v/>
      </c>
      <c r="H43" s="10" t="n"/>
      <c r="I43" s="10">
        <f>IF(G43="push",0,IF(G43=1,H43*(picks!Q1^(1/2)-1),IF(G43=0,-H43,"")))</f>
        <v/>
      </c>
    </row>
    <row r="44">
      <c r="G44">
        <f>IF(F44="","",IF(E44="over",IF(F44&gt;D44,1,IF(F44&lt;D44,0,"push")),IF(F44&lt;D44,1,IF(F44&gt;D44,0,"push"))))</f>
        <v/>
      </c>
      <c r="H44" s="10" t="n"/>
      <c r="I44" s="10">
        <f>IF(G44="push",0,IF(G44=1,H44*(picks!Q1^(1/2)-1),IF(G44=0,-H44,"")))</f>
        <v/>
      </c>
    </row>
    <row r="45">
      <c r="G45">
        <f>IF(F45="","",IF(E45="over",IF(F45&gt;D45,1,IF(F45&lt;D45,0,"push")),IF(F45&lt;D45,1,IF(F45&gt;D45,0,"push"))))</f>
        <v/>
      </c>
      <c r="H45" s="10" t="n"/>
      <c r="I45" s="10">
        <f>IF(G45="push",0,IF(G45=1,H45*(picks!Q1^(1/2)-1),IF(G45=0,-H45,"")))</f>
        <v/>
      </c>
    </row>
    <row r="46">
      <c r="G46">
        <f>IF(F46="","",IF(E46="over",IF(F46&gt;D46,1,IF(F46&lt;D46,0,"push")),IF(F46&lt;D46,1,IF(F46&gt;D46,0,"push"))))</f>
        <v/>
      </c>
      <c r="H46" s="10" t="n"/>
      <c r="I46" s="10">
        <f>IF(G46="push",0,IF(G46=1,H46*(picks!Q1^(1/2)-1),IF(G46=0,-H46,"")))</f>
        <v/>
      </c>
    </row>
    <row r="47">
      <c r="G47">
        <f>IF(F47="","",IF(E47="over",IF(F47&gt;D47,1,IF(F47&lt;D47,0,"push")),IF(F47&lt;D47,1,IF(F47&gt;D47,0,"push"))))</f>
        <v/>
      </c>
      <c r="H47" s="10" t="n"/>
      <c r="I47" s="10">
        <f>IF(G47="push",0,IF(G47=1,H47*(picks!Q1^(1/2)-1),IF(G47=0,-H47,"")))</f>
        <v/>
      </c>
    </row>
    <row r="48">
      <c r="G48">
        <f>IF(F48="","",IF(E48="over",IF(F48&gt;D48,1,IF(F48&lt;D48,0,"push")),IF(F48&lt;D48,1,IF(F48&gt;D48,0,"push"))))</f>
        <v/>
      </c>
      <c r="H48" s="10" t="n"/>
      <c r="I48" s="10">
        <f>IF(G48="push",0,IF(G48=1,H48*(picks!Q1^(1/2)-1),IF(G48=0,-H48,"")))</f>
        <v/>
      </c>
    </row>
    <row r="49">
      <c r="G49">
        <f>IF(F49="","",IF(E49="over",IF(F49&gt;D49,1,IF(F49&lt;D49,0,"push")),IF(F49&lt;D49,1,IF(F49&gt;D49,0,"push"))))</f>
        <v/>
      </c>
      <c r="H49" s="10" t="n"/>
      <c r="I49" s="10">
        <f>IF(G49="push",0,IF(G49=1,H49*(picks!Q1^(1/2)-1),IF(G49=0,-H49,"")))</f>
        <v/>
      </c>
    </row>
    <row r="50">
      <c r="G50">
        <f>IF(F50="","",IF(E50="over",IF(F50&gt;D50,1,IF(F50&lt;D50,0,"push")),IF(F50&lt;D50,1,IF(F50&gt;D50,0,"push"))))</f>
        <v/>
      </c>
      <c r="H50" s="10" t="n"/>
      <c r="I50" s="10">
        <f>IF(G50="push",0,IF(G50=1,H50*(picks!Q1^(1/2)-1),IF(G50=0,-H50,"")))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2026-04-26T13:07:43Z</dcterms:created>
  <dcterms:modified xsi:type="dcterms:W3CDTF">2026-04-26T13:07:43Z</dcterms:modified>
</cp:coreProperties>
</file>